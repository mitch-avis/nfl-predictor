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ts" sheetId="2" state="visible" r:id="rId2"/>
    <sheet xmlns:r="http://schemas.openxmlformats.org/officeDocument/2006/relationships" name="Live" sheetId="3" state="visible" r:id="rId3"/>
  </sheets>
  <definedNames>
    <definedName name="_xlnm._FilterDatabase" localSheetId="1" hidden="1">'Bets'!$A$1:$BT$1</definedName>
    <definedName name="_xlnm._FilterDatabase" localSheetId="2" hidden="1">'Live'!$A$1:$BJ$1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"/>
    <numFmt numFmtId="166" formatCode="0.0"/>
    <numFmt numFmtId="167" formatCode="0.00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 vertical="top" textRotation="90"/>
    </xf>
    <xf numFmtId="1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2" borderId="0" pivotButton="0" quotePrefix="0" xfId="0"/>
    <xf numFmtId="1" fontId="0" fillId="2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0E0FF"/>
          <bgColor rgb="FFD0E0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NFL Predictor Betting Template (Decision Support)</t>
        </is>
      </c>
    </row>
    <row r="3">
      <c r="A3" s="2" t="inlineStr">
        <is>
          <t>How to use:</t>
        </is>
      </c>
    </row>
    <row r="4">
      <c r="A4" t="inlineStr">
        <is>
          <t>1) Paste live moneylines/spread/total into the *Live* columns.</t>
        </is>
      </c>
    </row>
    <row r="5">
      <c r="A5" t="inlineStr">
        <is>
          <t>2) Recommendations update automatically (edges/actions).</t>
        </is>
      </c>
    </row>
    <row r="6">
      <c r="A6" t="inlineStr">
        <is>
          <t>3) Convert to .xlsb via Excel Save As if desired.</t>
        </is>
      </c>
    </row>
    <row r="8">
      <c r="A8" s="2" t="inlineStr">
        <is>
          <t>Notes:</t>
        </is>
      </c>
    </row>
    <row r="9">
      <c r="A9" t="inlineStr">
        <is>
          <t>- Market raw prob is implied from a single offered line (includes vig). No-vig re-normalizes home/away to sum to 1.</t>
        </is>
      </c>
    </row>
    <row r="10">
      <c r="A10" t="inlineStr">
        <is>
          <t>- Action thresholds: PASS &lt;2%, LEAN &lt;4%, SMALL &lt;7%, MEDIUM &lt;10%, STRONG &gt;=10%.</t>
        </is>
      </c>
    </row>
    <row r="11">
      <c r="A11" t="inlineStr">
        <is>
          <t>- Live recommendations use live odds + model probabilities. Spread/total cover probs are approximated from point predictions (mu) and p10/p90 quantiles (sigma) when available.</t>
        </is>
      </c>
    </row>
    <row r="12">
      <c r="A12" t="inlineStr">
        <is>
          <t>- The Live tab is a lightweight heuristic: enter score + minutes remaining to get a state-adjusted probability/edge view. It is not a trained in-game model.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1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6" customWidth="1" min="4" max="4"/>
    <col width="17" customWidth="1" min="5" max="5"/>
    <col width="16" customWidth="1" min="6" max="6"/>
    <col width="6" customWidth="1" min="7" max="7"/>
    <col width="6" customWidth="1" min="8" max="8"/>
    <col width="8" customWidth="1" min="9" max="9"/>
    <col width="8" customWidth="1" min="10" max="10"/>
    <col width="6" customWidth="1" min="11" max="11"/>
    <col width="6" customWidth="1" min="12" max="12"/>
    <col width="8" customWidth="1" min="13" max="13"/>
    <col width="7" customWidth="1" min="14" max="14"/>
    <col width="7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8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width="6" customWidth="1" min="55" max="55"/>
    <col width="6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  <col hidden="1" width="13" customWidth="1" min="63" max="63"/>
    <col hidden="1" width="13" customWidth="1" min="64" max="64"/>
    <col hidden="1" width="13" customWidth="1" min="65" max="65"/>
    <col hidden="1" width="13" customWidth="1" min="66" max="66"/>
    <col hidden="1" width="13" customWidth="1" min="67" max="67"/>
    <col hidden="1" width="13" customWidth="1" min="68" max="68"/>
    <col hidden="1" width="13" customWidth="1" min="69" max="69"/>
    <col hidden="1" width="13" customWidth="1" min="70" max="70"/>
    <col hidden="1" width="13" customWidth="1" min="71" max="71"/>
    <col hidden="1" width="13" customWidth="1" min="72" max="72"/>
  </cols>
  <sheetData>
    <row r="1">
      <c r="A1" s="3" t="inlineStr">
        <is>
          <t>season</t>
        </is>
      </c>
      <c r="B1" s="3" t="inlineStr">
        <is>
          <t>week</t>
        </is>
      </c>
      <c r="C1" s="3" t="inlineStr">
        <is>
          <t>date</t>
        </is>
      </c>
      <c r="D1" s="3" t="inlineStr">
        <is>
          <t>gametime</t>
        </is>
      </c>
      <c r="E1" s="3" t="inlineStr">
        <is>
          <t>game_datetime</t>
        </is>
      </c>
      <c r="F1" s="3" t="inlineStr">
        <is>
          <t>game_id</t>
        </is>
      </c>
      <c r="G1" s="3" t="inlineStr">
        <is>
          <t>away_abbr</t>
        </is>
      </c>
      <c r="H1" s="3" t="inlineStr">
        <is>
          <t>home_abbr</t>
        </is>
      </c>
      <c r="I1" s="3" t="inlineStr">
        <is>
          <t>away_spread_model_input</t>
        </is>
      </c>
      <c r="J1" s="3" t="inlineStr">
        <is>
          <t>home_spread_model_input</t>
        </is>
      </c>
      <c r="K1" s="3" t="inlineStr">
        <is>
          <t>away_moneyline_model_input</t>
        </is>
      </c>
      <c r="L1" s="3" t="inlineStr">
        <is>
          <t>home_moneyline_model_input</t>
        </is>
      </c>
      <c r="M1" s="3" t="inlineStr">
        <is>
          <t>total_model_input</t>
        </is>
      </c>
      <c r="N1" s="3" t="inlineStr">
        <is>
          <t>model_away_prob</t>
        </is>
      </c>
      <c r="O1" s="3" t="inlineStr">
        <is>
          <t>model_home_prob</t>
        </is>
      </c>
      <c r="P1" s="3" t="inlineStr">
        <is>
          <t>predicted_away_score</t>
        </is>
      </c>
      <c r="Q1" s="3" t="inlineStr">
        <is>
          <t>predicted_home_score</t>
        </is>
      </c>
      <c r="R1" s="3" t="inlineStr">
        <is>
          <t>predicted_margin</t>
        </is>
      </c>
      <c r="S1" s="3" t="inlineStr">
        <is>
          <t>predicted_total</t>
        </is>
      </c>
      <c r="T1" s="3" t="inlineStr">
        <is>
          <t>predicted_margin_p10</t>
        </is>
      </c>
      <c r="U1" s="3" t="inlineStr">
        <is>
          <t>predicted_margin_p50</t>
        </is>
      </c>
      <c r="V1" s="3" t="inlineStr">
        <is>
          <t>predicted_margin_p90</t>
        </is>
      </c>
      <c r="W1" s="3" t="inlineStr">
        <is>
          <t>predicted_total_p10</t>
        </is>
      </c>
      <c r="X1" s="3" t="inlineStr">
        <is>
          <t>predicted_total_p50</t>
        </is>
      </c>
      <c r="Y1" s="3" t="inlineStr">
        <is>
          <t>predicted_total_p90</t>
        </is>
      </c>
      <c r="Z1" s="3" t="inlineStr">
        <is>
          <t>away_spread_live</t>
        </is>
      </c>
      <c r="AA1" s="3" t="inlineStr">
        <is>
          <t>away_spread_odds_live</t>
        </is>
      </c>
      <c r="AB1" s="3" t="inlineStr">
        <is>
          <t>home_spread_live</t>
        </is>
      </c>
      <c r="AC1" s="3" t="inlineStr">
        <is>
          <t>home_spread_odds_live</t>
        </is>
      </c>
      <c r="AD1" s="3" t="inlineStr">
        <is>
          <t>away_moneyline_live</t>
        </is>
      </c>
      <c r="AE1" s="3" t="inlineStr">
        <is>
          <t>home_moneyline_live</t>
        </is>
      </c>
      <c r="AF1" s="3" t="inlineStr">
        <is>
          <t>total_live</t>
        </is>
      </c>
      <c r="AG1" s="3" t="inlineStr">
        <is>
          <t>total_over_odds_live</t>
        </is>
      </c>
      <c r="AH1" s="3" t="inlineStr">
        <is>
          <t>total_under_odds_live</t>
        </is>
      </c>
      <c r="AI1" s="3" t="inlineStr">
        <is>
          <t>spread_edge_points_home</t>
        </is>
      </c>
      <c r="AJ1" s="3" t="inlineStr">
        <is>
          <t>market_away_prob_raw</t>
        </is>
      </c>
      <c r="AK1" s="3" t="inlineStr">
        <is>
          <t>market_home_prob_raw</t>
        </is>
      </c>
      <c r="AL1" s="3" t="inlineStr">
        <is>
          <t>market_away_prob_novig</t>
        </is>
      </c>
      <c r="AM1" s="3" t="inlineStr">
        <is>
          <t>market_home_prob_novig</t>
        </is>
      </c>
      <c r="AN1" s="3" t="inlineStr">
        <is>
          <t>edge_away_prob</t>
        </is>
      </c>
      <c r="AO1" s="3" t="inlineStr">
        <is>
          <t>edge_home_prob</t>
        </is>
      </c>
      <c r="AP1" s="3" t="inlineStr">
        <is>
          <t>spread_value_side</t>
        </is>
      </c>
      <c r="AQ1" s="3" t="inlineStr">
        <is>
          <t>spread_edge_prob</t>
        </is>
      </c>
      <c r="AR1" s="3" t="inlineStr">
        <is>
          <t>spread_action</t>
        </is>
      </c>
      <c r="AS1" s="3" t="inlineStr">
        <is>
          <t>spread_confidence_1_10</t>
        </is>
      </c>
      <c r="AT1" s="3" t="inlineStr">
        <is>
          <t>spread_ev</t>
        </is>
      </c>
      <c r="AU1" s="3" t="inlineStr">
        <is>
          <t>money_value_side</t>
        </is>
      </c>
      <c r="AV1" s="3" t="inlineStr">
        <is>
          <t>money_edge_prob</t>
        </is>
      </c>
      <c r="AW1" s="3" t="inlineStr">
        <is>
          <t>money_action</t>
        </is>
      </c>
      <c r="AX1" s="3" t="inlineStr">
        <is>
          <t>money_confidence_1_10</t>
        </is>
      </c>
      <c r="AY1" s="3" t="inlineStr">
        <is>
          <t>moneyline_ev</t>
        </is>
      </c>
      <c r="AZ1" s="3" t="inlineStr">
        <is>
          <t>total_value_side</t>
        </is>
      </c>
      <c r="BA1" s="3" t="inlineStr">
        <is>
          <t>total_edge_prob</t>
        </is>
      </c>
      <c r="BB1" s="3" t="inlineStr">
        <is>
          <t>total_action</t>
        </is>
      </c>
      <c r="BC1" s="3" t="inlineStr">
        <is>
          <t>total_confidence_1_10</t>
        </is>
      </c>
      <c r="BD1" s="3" t="inlineStr">
        <is>
          <t>total_ev</t>
        </is>
      </c>
      <c r="BE1" s="3" t="inlineStr">
        <is>
          <t>spread_mu_margin</t>
        </is>
      </c>
      <c r="BF1" s="3" t="inlineStr">
        <is>
          <t>spread_sigma_margin</t>
        </is>
      </c>
      <c r="BG1" s="3" t="inlineStr">
        <is>
          <t>spread_p_home_cover</t>
        </is>
      </c>
      <c r="BH1" s="3" t="inlineStr">
        <is>
          <t>spread_p_away_cover</t>
        </is>
      </c>
      <c r="BI1" s="3" t="inlineStr">
        <is>
          <t>spread_implied_home_prob</t>
        </is>
      </c>
      <c r="BJ1" s="3" t="inlineStr">
        <is>
          <t>spread_implied_away_prob</t>
        </is>
      </c>
      <c r="BK1" s="3" t="inlineStr">
        <is>
          <t>spread_edge_home</t>
        </is>
      </c>
      <c r="BL1" s="3" t="inlineStr">
        <is>
          <t>spread_edge_away</t>
        </is>
      </c>
      <c r="BM1" s="3" t="inlineStr">
        <is>
          <t>total_mu</t>
        </is>
      </c>
      <c r="BN1" s="3" t="inlineStr">
        <is>
          <t>total_sigma</t>
        </is>
      </c>
      <c r="BO1" s="3" t="inlineStr">
        <is>
          <t>total_p_over</t>
        </is>
      </c>
      <c r="BP1" s="3" t="inlineStr">
        <is>
          <t>total_p_under</t>
        </is>
      </c>
      <c r="BQ1" s="3" t="inlineStr">
        <is>
          <t>total_implied_over_prob</t>
        </is>
      </c>
      <c r="BR1" s="3" t="inlineStr">
        <is>
          <t>total_implied_under_prob</t>
        </is>
      </c>
      <c r="BS1" s="3" t="inlineStr">
        <is>
          <t>total_edge_over</t>
        </is>
      </c>
      <c r="BT1" s="3" t="inlineStr">
        <is>
          <t>total_edge_under</t>
        </is>
      </c>
    </row>
    <row r="2">
      <c r="A2" s="4" t="n">
        <v>2026</v>
      </c>
      <c r="B2" s="4" t="n">
        <v>1</v>
      </c>
      <c r="C2" t="inlineStr">
        <is>
          <t>2026-09-09</t>
        </is>
      </c>
      <c r="D2" t="inlineStr">
        <is>
          <t>20:20</t>
        </is>
      </c>
      <c r="E2" s="5" t="n">
        <v>46274.84722222222</v>
      </c>
      <c r="F2" t="inlineStr">
        <is>
          <t>2026_01_NE_SEA</t>
        </is>
      </c>
      <c r="G2" t="inlineStr">
        <is>
          <t>NE</t>
        </is>
      </c>
      <c r="H2" t="inlineStr">
        <is>
          <t>SEA</t>
        </is>
      </c>
      <c r="I2" s="6" t="n">
        <v>3</v>
      </c>
      <c r="J2" s="6" t="n">
        <v>-3</v>
      </c>
      <c r="K2" s="4" t="n">
        <v>140</v>
      </c>
      <c r="L2" s="4" t="n">
        <v>-166</v>
      </c>
      <c r="M2" s="6" t="n">
        <v>44.5</v>
      </c>
      <c r="N2" s="7" t="n">
        <v>0.405</v>
      </c>
      <c r="O2" s="7" t="n">
        <v>0.595</v>
      </c>
      <c r="P2" s="6" t="n">
        <v>20.8</v>
      </c>
      <c r="Q2" s="6" t="n">
        <v>23.2</v>
      </c>
      <c r="R2" s="6" t="n">
        <v>2.4</v>
      </c>
      <c r="S2" s="6" t="n">
        <v>44.1</v>
      </c>
      <c r="T2" s="6" t="n">
        <v>-14.6</v>
      </c>
      <c r="U2" s="6" t="n">
        <v>2.8</v>
      </c>
      <c r="V2" s="6" t="n">
        <v>22.6</v>
      </c>
      <c r="W2" s="6" t="n">
        <v>28.4</v>
      </c>
      <c r="X2" s="6" t="n">
        <v>43.4</v>
      </c>
      <c r="Y2" s="6" t="n">
        <v>62.9</v>
      </c>
      <c r="Z2" s="8" t="n">
        <v>3</v>
      </c>
      <c r="AA2" s="9" t="n">
        <v>-110</v>
      </c>
      <c r="AB2" s="8">
        <f>-Z2</f>
        <v/>
      </c>
      <c r="AC2" s="9" t="n">
        <v>-110</v>
      </c>
      <c r="AD2" s="9" t="n">
        <v>140</v>
      </c>
      <c r="AE2" s="9" t="n">
        <v>-166</v>
      </c>
      <c r="AF2" s="8" t="n">
        <v>44.5</v>
      </c>
      <c r="AG2" s="9" t="n">
        <v>-110</v>
      </c>
      <c r="AH2" s="9" t="n">
        <v>-110</v>
      </c>
      <c r="AI2" s="6">
        <f>IF(OR(ISBLANK(AB2),ISBLANK(R2)),NA(),R2+AB2)</f>
        <v/>
      </c>
      <c r="AJ2" s="7">
        <f>IF(OR(ISBLANK(AD2),AD2=0),NA(),IF(AD2&gt;0,100/(AD2+100),-(AD2)/(-(AD2)+100)))</f>
        <v/>
      </c>
      <c r="AK2" s="7">
        <f>IF(OR(ISBLANK(AE2),AE2=0),NA(),IF(AE2&gt;0,100/(AE2+100),-(AE2)/(-(AE2)+100)))</f>
        <v/>
      </c>
      <c r="AL2" s="7">
        <f>IF(OR(ISNA(AK2),ISNA(AJ2)),NA(),AJ2/(AK2+AJ2))</f>
        <v/>
      </c>
      <c r="AM2" s="7">
        <f>IF(OR(ISNA(AK2),ISNA(AJ2)),NA(),AK2/(AK2+AJ2))</f>
        <v/>
      </c>
      <c r="AN2" s="7">
        <f>N2-AL2</f>
        <v/>
      </c>
      <c r="AO2" s="7">
        <f>O2-AM2</f>
        <v/>
      </c>
      <c r="AP2">
        <f>IF(BK2&gt;=BL2,H2,G2)</f>
        <v/>
      </c>
      <c r="AQ2" s="7">
        <f>MAX(0,BK2,BL2)</f>
        <v/>
      </c>
      <c r="AR2">
        <f>IF(AQ2&lt;=0,"PASS",IF(AQ2&lt;0.02,"PASS",IF(AQ2&lt;0.04,"LEAN",IF(AQ2&lt;0.07,"SMALL",IF(AQ2&lt;0.10,"MEDIUM","STRONG")))))</f>
        <v/>
      </c>
      <c r="AS2" s="4">
        <f>IF(AQ2&lt;0.01,1,IF(AQ2&lt;0.02,2,IF(AQ2&lt;0.03,3,IF(AQ2&lt;0.04,4,IF(AQ2&lt;0.05,5,IF(AQ2&lt;0.06,6,IF(AQ2&lt;0.07,7,IF(AQ2&lt;0.08,8,IF(AQ2&lt;0.10,9,10)))))))))</f>
        <v/>
      </c>
      <c r="AT2" s="7">
        <f>IF(AP2=H2,(BG2)*(IF(AC2&gt;0,AC2/100,100/ABS(AC2)))-(1-(BG2)),(BH2)*(IF(AA2&gt;0,AA2/100,100/ABS(AA2)))-(1-(BH2)))</f>
        <v/>
      </c>
      <c r="AU2">
        <f>IF((O2-AK2)&gt;=(N2-AJ2),H2,G2)</f>
        <v/>
      </c>
      <c r="AV2" s="7">
        <f>MAX(0,(O2-AK2),(N2-AJ2))</f>
        <v/>
      </c>
      <c r="AW2">
        <f>IF(AV2&lt;=0,"PASS",IF(AV2&lt;0.02,"PASS",IF(AV2&lt;0.04,"LEAN",IF(AV2&lt;0.07,"SMALL",IF(AV2&lt;0.10,"MEDIUM","STRONG")))))</f>
        <v/>
      </c>
      <c r="AX2" s="4">
        <f>IF(AV2&lt;0.01,1,IF(AV2&lt;0.02,2,IF(AV2&lt;0.03,3,IF(AV2&lt;0.04,4,IF(AV2&lt;0.05,5,IF(AV2&lt;0.06,6,IF(AV2&lt;0.07,7,IF(AV2&lt;0.08,8,IF(AV2&lt;0.10,9,10)))))))))</f>
        <v/>
      </c>
      <c r="AY2" s="7">
        <f>IF(AU2=H2,(O2)*(IF(AE2&gt;0,AE2/100,100/ABS(AE2)))-(1-(O2)),(N2)*(IF(AD2&gt;0,AD2/100,100/ABS(AD2)))-(1-(N2)))</f>
        <v/>
      </c>
      <c r="AZ2">
        <f>IF(BS2&gt;=BT2,"OVER","UNDER")</f>
        <v/>
      </c>
      <c r="BA2" s="7">
        <f>MAX(0,BS2,BT2)</f>
        <v/>
      </c>
      <c r="BB2">
        <f>IF(BA2&lt;=0,"PASS",IF(BA2&lt;0.02,"PASS",IF(BA2&lt;0.04,"LEAN",IF(BA2&lt;0.07,"SMALL",IF(BA2&lt;0.10,"MEDIUM","STRONG")))))</f>
        <v/>
      </c>
      <c r="BC2" s="4">
        <f>IF(BA2&lt;0.01,1,IF(BA2&lt;0.02,2,IF(BA2&lt;0.03,3,IF(BA2&lt;0.04,4,IF(BA2&lt;0.05,5,IF(BA2&lt;0.06,6,IF(BA2&lt;0.07,7,IF(BA2&lt;0.08,8,IF(BA2&lt;0.10,9,10)))))))))</f>
        <v/>
      </c>
      <c r="BD2" s="7">
        <f>IF(AZ2="OVER",(BO2)*(IF(AG2&gt;0,AG2/100,100/ABS(AG2)))-(1-(BO2)),(BP2)*(IF(AH2&gt;0,AH2/100,100/ABS(AH2)))-(1-(BP2)))</f>
        <v/>
      </c>
      <c r="BE2" s="6">
        <f>R2</f>
        <v/>
      </c>
      <c r="BF2" s="10">
        <f>IF(OR(ISBLANK(T2),ISBLANK(V2)),13,(V2-T2)/(2.56310313109))</f>
        <v/>
      </c>
      <c r="BG2" s="7">
        <f>IF(OR(ISNA(BF2),BF2&lt;=0,ISBLANK(AB2)),NA(),1-NORMSDIST(((-AB2)-(BE2))/(BF2)))</f>
        <v/>
      </c>
      <c r="BH2" s="7">
        <f>IF(OR(ISNA(BF2),BF2&lt;=0,ISBLANK(Z2)),NA(),NORMSDIST(((Z2)-(BE2))/(BF2)))</f>
        <v/>
      </c>
      <c r="BI2" s="7">
        <f>IF(OR(ISBLANK(AC2),AC2=0),NA(),IF(AC2&gt;0,100/(AC2+100),-(AC2)/(-(AC2)+100)))</f>
        <v/>
      </c>
      <c r="BJ2" s="7">
        <f>IF(OR(ISBLANK(AA2),AA2=0),NA(),IF(AA2&gt;0,100/(AA2+100),-(AA2)/(-(AA2)+100)))</f>
        <v/>
      </c>
      <c r="BK2" s="7">
        <f>BG2-BI2</f>
        <v/>
      </c>
      <c r="BL2" s="7">
        <f>BH2-BJ2</f>
        <v/>
      </c>
      <c r="BM2" s="6">
        <f>S2</f>
        <v/>
      </c>
      <c r="BN2" s="10">
        <f>IF(OR(ISBLANK(W2),ISBLANK(Y2)),16,(Y2-W2)/(2.56310313109))</f>
        <v/>
      </c>
      <c r="BO2" s="7">
        <f>IF(OR(ISNA(BN2),BN2&lt;=0,ISBLANK(AF2)),NA(),1-NORMSDIST(((AF2)-(BM2))/(BN2)))</f>
        <v/>
      </c>
      <c r="BP2" s="7">
        <f>IF(ISNA(BO2),NA(),1-(BO2))</f>
        <v/>
      </c>
      <c r="BQ2" s="7">
        <f>IF(OR(ISBLANK(AG2),AG2=0),NA(),IF(AG2&gt;0,100/(AG2+100),-(AG2)/(-(AG2)+100)))</f>
        <v/>
      </c>
      <c r="BR2" s="7">
        <f>IF(OR(ISBLANK(AH2),AH2=0),NA(),IF(AH2&gt;0,100/(AH2+100),-(AH2)/(-(AH2)+100)))</f>
        <v/>
      </c>
      <c r="BS2" s="7">
        <f>BO2-BQ2</f>
        <v/>
      </c>
      <c r="BT2" s="7">
        <f>BP2-BR2</f>
        <v/>
      </c>
    </row>
    <row r="3">
      <c r="A3" s="4" t="n">
        <v>2026</v>
      </c>
      <c r="B3" s="4" t="n">
        <v>1</v>
      </c>
      <c r="C3" t="inlineStr">
        <is>
          <t>2026-09-10</t>
        </is>
      </c>
      <c r="D3" t="inlineStr">
        <is>
          <t>20:35</t>
        </is>
      </c>
      <c r="E3" s="5" t="n">
        <v>46275.85763888889</v>
      </c>
      <c r="F3" t="inlineStr">
        <is>
          <t>2026_01_SF_LA</t>
        </is>
      </c>
      <c r="G3" t="inlineStr">
        <is>
          <t>SF</t>
        </is>
      </c>
      <c r="H3" t="inlineStr">
        <is>
          <t>LAR</t>
        </is>
      </c>
      <c r="I3" s="6" t="n">
        <v>3.5</v>
      </c>
      <c r="J3" s="6" t="n">
        <v>-3.5</v>
      </c>
      <c r="K3" s="4" t="n">
        <v>164</v>
      </c>
      <c r="L3" s="4" t="n">
        <v>-198</v>
      </c>
      <c r="M3" s="6" t="n">
        <v>48.5</v>
      </c>
      <c r="N3" s="7" t="n">
        <v>0.3419</v>
      </c>
      <c r="O3" s="7" t="n">
        <v>0.6581</v>
      </c>
      <c r="P3" s="6" t="n">
        <v>20.2</v>
      </c>
      <c r="Q3" s="6" t="n">
        <v>24</v>
      </c>
      <c r="R3" s="6" t="n">
        <v>3.8</v>
      </c>
      <c r="S3" s="6" t="n">
        <v>44.1</v>
      </c>
      <c r="T3" s="6" t="n">
        <v>-13.3</v>
      </c>
      <c r="U3" s="6" t="n">
        <v>3.9</v>
      </c>
      <c r="V3" s="6" t="n">
        <v>21.3</v>
      </c>
      <c r="W3" s="6" t="n">
        <v>31.8</v>
      </c>
      <c r="X3" s="6" t="n">
        <v>46.3</v>
      </c>
      <c r="Y3" s="6" t="n">
        <v>67.09999999999999</v>
      </c>
      <c r="Z3" s="8" t="n">
        <v>3.5</v>
      </c>
      <c r="AA3" s="9" t="n">
        <v>-110</v>
      </c>
      <c r="AB3" s="8">
        <f>-Z3</f>
        <v/>
      </c>
      <c r="AC3" s="9" t="n">
        <v>-110</v>
      </c>
      <c r="AD3" s="9" t="n">
        <v>164</v>
      </c>
      <c r="AE3" s="9" t="n">
        <v>-198</v>
      </c>
      <c r="AF3" s="8" t="n">
        <v>48.5</v>
      </c>
      <c r="AG3" s="9" t="n">
        <v>-110</v>
      </c>
      <c r="AH3" s="9" t="n">
        <v>-110</v>
      </c>
      <c r="AI3" s="6">
        <f>IF(OR(ISBLANK(AB3),ISBLANK(R3)),NA(),R3+AB3)</f>
        <v/>
      </c>
      <c r="AJ3" s="7">
        <f>IF(OR(ISBLANK(AD3),AD3=0),NA(),IF(AD3&gt;0,100/(AD3+100),-(AD3)/(-(AD3)+100)))</f>
        <v/>
      </c>
      <c r="AK3" s="7">
        <f>IF(OR(ISBLANK(AE3),AE3=0),NA(),IF(AE3&gt;0,100/(AE3+100),-(AE3)/(-(AE3)+100)))</f>
        <v/>
      </c>
      <c r="AL3" s="7">
        <f>IF(OR(ISNA(AK3),ISNA(AJ3)),NA(),AJ3/(AK3+AJ3))</f>
        <v/>
      </c>
      <c r="AM3" s="7">
        <f>IF(OR(ISNA(AK3),ISNA(AJ3)),NA(),AK3/(AK3+AJ3))</f>
        <v/>
      </c>
      <c r="AN3" s="7">
        <f>N3-AL3</f>
        <v/>
      </c>
      <c r="AO3" s="7">
        <f>O3-AM3</f>
        <v/>
      </c>
      <c r="AP3">
        <f>IF(BK3&gt;=BL3,H3,G3)</f>
        <v/>
      </c>
      <c r="AQ3" s="7">
        <f>MAX(0,BK3,BL3)</f>
        <v/>
      </c>
      <c r="AR3">
        <f>IF(AQ3&lt;=0,"PASS",IF(AQ3&lt;0.02,"PASS",IF(AQ3&lt;0.04,"LEAN",IF(AQ3&lt;0.07,"SMALL",IF(AQ3&lt;0.10,"MEDIUM","STRONG")))))</f>
        <v/>
      </c>
      <c r="AS3" s="4">
        <f>IF(AQ3&lt;0.01,1,IF(AQ3&lt;0.02,2,IF(AQ3&lt;0.03,3,IF(AQ3&lt;0.04,4,IF(AQ3&lt;0.05,5,IF(AQ3&lt;0.06,6,IF(AQ3&lt;0.07,7,IF(AQ3&lt;0.08,8,IF(AQ3&lt;0.10,9,10)))))))))</f>
        <v/>
      </c>
      <c r="AT3" s="7">
        <f>IF(AP3=H3,(BG3)*(IF(AC3&gt;0,AC3/100,100/ABS(AC3)))-(1-(BG3)),(BH3)*(IF(AA3&gt;0,AA3/100,100/ABS(AA3)))-(1-(BH3)))</f>
        <v/>
      </c>
      <c r="AU3">
        <f>IF((O3-AK3)&gt;=(N3-AJ3),H3,G3)</f>
        <v/>
      </c>
      <c r="AV3" s="7">
        <f>MAX(0,(O3-AK3),(N3-AJ3))</f>
        <v/>
      </c>
      <c r="AW3">
        <f>IF(AV3&lt;=0,"PASS",IF(AV3&lt;0.02,"PASS",IF(AV3&lt;0.04,"LEAN",IF(AV3&lt;0.07,"SMALL",IF(AV3&lt;0.10,"MEDIUM","STRONG")))))</f>
        <v/>
      </c>
      <c r="AX3" s="4">
        <f>IF(AV3&lt;0.01,1,IF(AV3&lt;0.02,2,IF(AV3&lt;0.03,3,IF(AV3&lt;0.04,4,IF(AV3&lt;0.05,5,IF(AV3&lt;0.06,6,IF(AV3&lt;0.07,7,IF(AV3&lt;0.08,8,IF(AV3&lt;0.10,9,10)))))))))</f>
        <v/>
      </c>
      <c r="AY3" s="7">
        <f>IF(AU3=H3,(O3)*(IF(AE3&gt;0,AE3/100,100/ABS(AE3)))-(1-(O3)),(N3)*(IF(AD3&gt;0,AD3/100,100/ABS(AD3)))-(1-(N3)))</f>
        <v/>
      </c>
      <c r="AZ3">
        <f>IF(BS3&gt;=BT3,"OVER","UNDER")</f>
        <v/>
      </c>
      <c r="BA3" s="7">
        <f>MAX(0,BS3,BT3)</f>
        <v/>
      </c>
      <c r="BB3">
        <f>IF(BA3&lt;=0,"PASS",IF(BA3&lt;0.02,"PASS",IF(BA3&lt;0.04,"LEAN",IF(BA3&lt;0.07,"SMALL",IF(BA3&lt;0.10,"MEDIUM","STRONG")))))</f>
        <v/>
      </c>
      <c r="BC3" s="4">
        <f>IF(BA3&lt;0.01,1,IF(BA3&lt;0.02,2,IF(BA3&lt;0.03,3,IF(BA3&lt;0.04,4,IF(BA3&lt;0.05,5,IF(BA3&lt;0.06,6,IF(BA3&lt;0.07,7,IF(BA3&lt;0.08,8,IF(BA3&lt;0.10,9,10)))))))))</f>
        <v/>
      </c>
      <c r="BD3" s="7">
        <f>IF(AZ3="OVER",(BO3)*(IF(AG3&gt;0,AG3/100,100/ABS(AG3)))-(1-(BO3)),(BP3)*(IF(AH3&gt;0,AH3/100,100/ABS(AH3)))-(1-(BP3)))</f>
        <v/>
      </c>
      <c r="BE3" s="6">
        <f>R3</f>
        <v/>
      </c>
      <c r="BF3" s="10">
        <f>IF(OR(ISBLANK(T3),ISBLANK(V3)),13,(V3-T3)/(2.56310313109))</f>
        <v/>
      </c>
      <c r="BG3" s="7">
        <f>IF(OR(ISNA(BF3),BF3&lt;=0,ISBLANK(AB3)),NA(),1-NORMSDIST(((-AB3)-(BE3))/(BF3)))</f>
        <v/>
      </c>
      <c r="BH3" s="7">
        <f>IF(OR(ISNA(BF3),BF3&lt;=0,ISBLANK(Z3)),NA(),NORMSDIST(((Z3)-(BE3))/(BF3)))</f>
        <v/>
      </c>
      <c r="BI3" s="7">
        <f>IF(OR(ISBLANK(AC3),AC3=0),NA(),IF(AC3&gt;0,100/(AC3+100),-(AC3)/(-(AC3)+100)))</f>
        <v/>
      </c>
      <c r="BJ3" s="7">
        <f>IF(OR(ISBLANK(AA3),AA3=0),NA(),IF(AA3&gt;0,100/(AA3+100),-(AA3)/(-(AA3)+100)))</f>
        <v/>
      </c>
      <c r="BK3" s="7">
        <f>BG3-BI3</f>
        <v/>
      </c>
      <c r="BL3" s="7">
        <f>BH3-BJ3</f>
        <v/>
      </c>
      <c r="BM3" s="6">
        <f>S3</f>
        <v/>
      </c>
      <c r="BN3" s="10">
        <f>IF(OR(ISBLANK(W3),ISBLANK(Y3)),16,(Y3-W3)/(2.56310313109))</f>
        <v/>
      </c>
      <c r="BO3" s="7">
        <f>IF(OR(ISNA(BN3),BN3&lt;=0,ISBLANK(AF3)),NA(),1-NORMSDIST(((AF3)-(BM3))/(BN3)))</f>
        <v/>
      </c>
      <c r="BP3" s="7">
        <f>IF(ISNA(BO3),NA(),1-(BO3))</f>
        <v/>
      </c>
      <c r="BQ3" s="7">
        <f>IF(OR(ISBLANK(AG3),AG3=0),NA(),IF(AG3&gt;0,100/(AG3+100),-(AG3)/(-(AG3)+100)))</f>
        <v/>
      </c>
      <c r="BR3" s="7">
        <f>IF(OR(ISBLANK(AH3),AH3=0),NA(),IF(AH3&gt;0,100/(AH3+100),-(AH3)/(-(AH3)+100)))</f>
        <v/>
      </c>
      <c r="BS3" s="7">
        <f>BO3-BQ3</f>
        <v/>
      </c>
      <c r="BT3" s="7">
        <f>BP3-BR3</f>
        <v/>
      </c>
    </row>
    <row r="4">
      <c r="A4" s="4" t="n">
        <v>2026</v>
      </c>
      <c r="B4" s="4" t="n">
        <v>1</v>
      </c>
      <c r="C4" t="inlineStr">
        <is>
          <t>2026-09-13</t>
        </is>
      </c>
      <c r="D4" t="inlineStr">
        <is>
          <t>13:00</t>
        </is>
      </c>
      <c r="E4" s="5" t="n">
        <v>46278.54166666666</v>
      </c>
      <c r="F4" t="inlineStr">
        <is>
          <t>2026_01_ATL_PIT</t>
        </is>
      </c>
      <c r="G4" t="inlineStr">
        <is>
          <t>ATL</t>
        </is>
      </c>
      <c r="H4" t="inlineStr">
        <is>
          <t>PIT</t>
        </is>
      </c>
      <c r="I4" s="6" t="n">
        <v>3.5</v>
      </c>
      <c r="J4" s="6" t="n">
        <v>-3.5</v>
      </c>
      <c r="K4" s="4" t="n">
        <v>154</v>
      </c>
      <c r="L4" s="4" t="n">
        <v>-185</v>
      </c>
      <c r="M4" s="6" t="n">
        <v>42.5</v>
      </c>
      <c r="N4" s="7" t="n">
        <v>0.4058</v>
      </c>
      <c r="O4" s="7" t="n">
        <v>0.5942</v>
      </c>
      <c r="P4" s="6" t="n">
        <v>20.8</v>
      </c>
      <c r="Q4" s="6" t="n">
        <v>23.2</v>
      </c>
      <c r="R4" s="6" t="n">
        <v>2.4</v>
      </c>
      <c r="S4" s="6" t="n">
        <v>43.9</v>
      </c>
      <c r="T4" s="6" t="n">
        <v>-13.8</v>
      </c>
      <c r="U4" s="6" t="n">
        <v>2.3</v>
      </c>
      <c r="V4" s="6" t="n">
        <v>19.7</v>
      </c>
      <c r="W4" s="6" t="n">
        <v>27.1</v>
      </c>
      <c r="X4" s="6" t="n">
        <v>41.2</v>
      </c>
      <c r="Y4" s="6" t="n">
        <v>60.9</v>
      </c>
      <c r="Z4" s="8" t="n">
        <v>3.5</v>
      </c>
      <c r="AA4" s="9" t="n">
        <v>-110</v>
      </c>
      <c r="AB4" s="8">
        <f>-Z4</f>
        <v/>
      </c>
      <c r="AC4" s="9" t="n">
        <v>-110</v>
      </c>
      <c r="AD4" s="9" t="n">
        <v>154</v>
      </c>
      <c r="AE4" s="9" t="n">
        <v>-185</v>
      </c>
      <c r="AF4" s="8" t="n">
        <v>42.5</v>
      </c>
      <c r="AG4" s="9" t="n">
        <v>-110</v>
      </c>
      <c r="AH4" s="9" t="n">
        <v>-110</v>
      </c>
      <c r="AI4" s="6">
        <f>IF(OR(ISBLANK(AB4),ISBLANK(R4)),NA(),R4+AB4)</f>
        <v/>
      </c>
      <c r="AJ4" s="7">
        <f>IF(OR(ISBLANK(AD4),AD4=0),NA(),IF(AD4&gt;0,100/(AD4+100),-(AD4)/(-(AD4)+100)))</f>
        <v/>
      </c>
      <c r="AK4" s="7">
        <f>IF(OR(ISBLANK(AE4),AE4=0),NA(),IF(AE4&gt;0,100/(AE4+100),-(AE4)/(-(AE4)+100)))</f>
        <v/>
      </c>
      <c r="AL4" s="7">
        <f>IF(OR(ISNA(AK4),ISNA(AJ4)),NA(),AJ4/(AK4+AJ4))</f>
        <v/>
      </c>
      <c r="AM4" s="7">
        <f>IF(OR(ISNA(AK4),ISNA(AJ4)),NA(),AK4/(AK4+AJ4))</f>
        <v/>
      </c>
      <c r="AN4" s="7">
        <f>N4-AL4</f>
        <v/>
      </c>
      <c r="AO4" s="7">
        <f>O4-AM4</f>
        <v/>
      </c>
      <c r="AP4">
        <f>IF(BK4&gt;=BL4,H4,G4)</f>
        <v/>
      </c>
      <c r="AQ4" s="7">
        <f>MAX(0,BK4,BL4)</f>
        <v/>
      </c>
      <c r="AR4">
        <f>IF(AQ4&lt;=0,"PASS",IF(AQ4&lt;0.02,"PASS",IF(AQ4&lt;0.04,"LEAN",IF(AQ4&lt;0.07,"SMALL",IF(AQ4&lt;0.10,"MEDIUM","STRONG")))))</f>
        <v/>
      </c>
      <c r="AS4" s="4">
        <f>IF(AQ4&lt;0.01,1,IF(AQ4&lt;0.02,2,IF(AQ4&lt;0.03,3,IF(AQ4&lt;0.04,4,IF(AQ4&lt;0.05,5,IF(AQ4&lt;0.06,6,IF(AQ4&lt;0.07,7,IF(AQ4&lt;0.08,8,IF(AQ4&lt;0.10,9,10)))))))))</f>
        <v/>
      </c>
      <c r="AT4" s="7">
        <f>IF(AP4=H4,(BG4)*(IF(AC4&gt;0,AC4/100,100/ABS(AC4)))-(1-(BG4)),(BH4)*(IF(AA4&gt;0,AA4/100,100/ABS(AA4)))-(1-(BH4)))</f>
        <v/>
      </c>
      <c r="AU4">
        <f>IF((O4-AK4)&gt;=(N4-AJ4),H4,G4)</f>
        <v/>
      </c>
      <c r="AV4" s="7">
        <f>MAX(0,(O4-AK4),(N4-AJ4))</f>
        <v/>
      </c>
      <c r="AW4">
        <f>IF(AV4&lt;=0,"PASS",IF(AV4&lt;0.02,"PASS",IF(AV4&lt;0.04,"LEAN",IF(AV4&lt;0.07,"SMALL",IF(AV4&lt;0.10,"MEDIUM","STRONG")))))</f>
        <v/>
      </c>
      <c r="AX4" s="4">
        <f>IF(AV4&lt;0.01,1,IF(AV4&lt;0.02,2,IF(AV4&lt;0.03,3,IF(AV4&lt;0.04,4,IF(AV4&lt;0.05,5,IF(AV4&lt;0.06,6,IF(AV4&lt;0.07,7,IF(AV4&lt;0.08,8,IF(AV4&lt;0.10,9,10)))))))))</f>
        <v/>
      </c>
      <c r="AY4" s="7">
        <f>IF(AU4=H4,(O4)*(IF(AE4&gt;0,AE4/100,100/ABS(AE4)))-(1-(O4)),(N4)*(IF(AD4&gt;0,AD4/100,100/ABS(AD4)))-(1-(N4)))</f>
        <v/>
      </c>
      <c r="AZ4">
        <f>IF(BS4&gt;=BT4,"OVER","UNDER")</f>
        <v/>
      </c>
      <c r="BA4" s="7">
        <f>MAX(0,BS4,BT4)</f>
        <v/>
      </c>
      <c r="BB4">
        <f>IF(BA4&lt;=0,"PASS",IF(BA4&lt;0.02,"PASS",IF(BA4&lt;0.04,"LEAN",IF(BA4&lt;0.07,"SMALL",IF(BA4&lt;0.10,"MEDIUM","STRONG")))))</f>
        <v/>
      </c>
      <c r="BC4" s="4">
        <f>IF(BA4&lt;0.01,1,IF(BA4&lt;0.02,2,IF(BA4&lt;0.03,3,IF(BA4&lt;0.04,4,IF(BA4&lt;0.05,5,IF(BA4&lt;0.06,6,IF(BA4&lt;0.07,7,IF(BA4&lt;0.08,8,IF(BA4&lt;0.10,9,10)))))))))</f>
        <v/>
      </c>
      <c r="BD4" s="7">
        <f>IF(AZ4="OVER",(BO4)*(IF(AG4&gt;0,AG4/100,100/ABS(AG4)))-(1-(BO4)),(BP4)*(IF(AH4&gt;0,AH4/100,100/ABS(AH4)))-(1-(BP4)))</f>
        <v/>
      </c>
      <c r="BE4" s="6">
        <f>R4</f>
        <v/>
      </c>
      <c r="BF4" s="10">
        <f>IF(OR(ISBLANK(T4),ISBLANK(V4)),13,(V4-T4)/(2.56310313109))</f>
        <v/>
      </c>
      <c r="BG4" s="7">
        <f>IF(OR(ISNA(BF4),BF4&lt;=0,ISBLANK(AB4)),NA(),1-NORMSDIST(((-AB4)-(BE4))/(BF4)))</f>
        <v/>
      </c>
      <c r="BH4" s="7">
        <f>IF(OR(ISNA(BF4),BF4&lt;=0,ISBLANK(Z4)),NA(),NORMSDIST(((Z4)-(BE4))/(BF4)))</f>
        <v/>
      </c>
      <c r="BI4" s="7">
        <f>IF(OR(ISBLANK(AC4),AC4=0),NA(),IF(AC4&gt;0,100/(AC4+100),-(AC4)/(-(AC4)+100)))</f>
        <v/>
      </c>
      <c r="BJ4" s="7">
        <f>IF(OR(ISBLANK(AA4),AA4=0),NA(),IF(AA4&gt;0,100/(AA4+100),-(AA4)/(-(AA4)+100)))</f>
        <v/>
      </c>
      <c r="BK4" s="7">
        <f>BG4-BI4</f>
        <v/>
      </c>
      <c r="BL4" s="7">
        <f>BH4-BJ4</f>
        <v/>
      </c>
      <c r="BM4" s="6">
        <f>S4</f>
        <v/>
      </c>
      <c r="BN4" s="10">
        <f>IF(OR(ISBLANK(W4),ISBLANK(Y4)),16,(Y4-W4)/(2.56310313109))</f>
        <v/>
      </c>
      <c r="BO4" s="7">
        <f>IF(OR(ISNA(BN4),BN4&lt;=0,ISBLANK(AF4)),NA(),1-NORMSDIST(((AF4)-(BM4))/(BN4)))</f>
        <v/>
      </c>
      <c r="BP4" s="7">
        <f>IF(ISNA(BO4),NA(),1-(BO4))</f>
        <v/>
      </c>
      <c r="BQ4" s="7">
        <f>IF(OR(ISBLANK(AG4),AG4=0),NA(),IF(AG4&gt;0,100/(AG4+100),-(AG4)/(-(AG4)+100)))</f>
        <v/>
      </c>
      <c r="BR4" s="7">
        <f>IF(OR(ISBLANK(AH4),AH4=0),NA(),IF(AH4&gt;0,100/(AH4+100),-(AH4)/(-(AH4)+100)))</f>
        <v/>
      </c>
      <c r="BS4" s="7">
        <f>BO4-BQ4</f>
        <v/>
      </c>
      <c r="BT4" s="7">
        <f>BP4-BR4</f>
        <v/>
      </c>
    </row>
    <row r="5">
      <c r="A5" s="4" t="n">
        <v>2026</v>
      </c>
      <c r="B5" s="4" t="n">
        <v>1</v>
      </c>
      <c r="C5" t="inlineStr">
        <is>
          <t>2026-09-13</t>
        </is>
      </c>
      <c r="D5" t="inlineStr">
        <is>
          <t>13:00</t>
        </is>
      </c>
      <c r="E5" s="5" t="n">
        <v>46278.54166666666</v>
      </c>
      <c r="F5" t="inlineStr">
        <is>
          <t>2026_01_BAL_IND</t>
        </is>
      </c>
      <c r="G5" t="inlineStr">
        <is>
          <t>BAL</t>
        </is>
      </c>
      <c r="H5" t="inlineStr">
        <is>
          <t>IND</t>
        </is>
      </c>
      <c r="I5" s="6" t="n">
        <v>-3.5</v>
      </c>
      <c r="J5" s="6" t="n">
        <v>3.5</v>
      </c>
      <c r="K5" s="4" t="n">
        <v>-175</v>
      </c>
      <c r="L5" s="4" t="n">
        <v>145</v>
      </c>
      <c r="M5" s="6" t="n">
        <v>47.5</v>
      </c>
      <c r="N5" s="7" t="n">
        <v>0.6967</v>
      </c>
      <c r="O5" s="7" t="n">
        <v>0.3033</v>
      </c>
      <c r="P5" s="6" t="n">
        <v>24</v>
      </c>
      <c r="Q5" s="6" t="n">
        <v>20.2</v>
      </c>
      <c r="R5" s="6" t="n">
        <v>-3.8</v>
      </c>
      <c r="S5" s="6" t="n">
        <v>44.1</v>
      </c>
      <c r="T5" s="6" t="n">
        <v>-19.7</v>
      </c>
      <c r="U5" s="6" t="n">
        <v>-3.4</v>
      </c>
      <c r="V5" s="6" t="n">
        <v>15.5</v>
      </c>
      <c r="W5" s="6" t="n">
        <v>29.4</v>
      </c>
      <c r="X5" s="6" t="n">
        <v>44.1</v>
      </c>
      <c r="Y5" s="6" t="n">
        <v>63.4</v>
      </c>
      <c r="Z5" s="8" t="n">
        <v>-3.5</v>
      </c>
      <c r="AA5" s="9" t="n">
        <v>-110</v>
      </c>
      <c r="AB5" s="8">
        <f>-Z5</f>
        <v/>
      </c>
      <c r="AC5" s="9" t="n">
        <v>-110</v>
      </c>
      <c r="AD5" s="9" t="n">
        <v>-175</v>
      </c>
      <c r="AE5" s="9" t="n">
        <v>145</v>
      </c>
      <c r="AF5" s="8" t="n">
        <v>47.5</v>
      </c>
      <c r="AG5" s="9" t="n">
        <v>-110</v>
      </c>
      <c r="AH5" s="9" t="n">
        <v>-110</v>
      </c>
      <c r="AI5" s="6">
        <f>IF(OR(ISBLANK(AB5),ISBLANK(R5)),NA(),R5+AB5)</f>
        <v/>
      </c>
      <c r="AJ5" s="7">
        <f>IF(OR(ISBLANK(AD5),AD5=0),NA(),IF(AD5&gt;0,100/(AD5+100),-(AD5)/(-(AD5)+100)))</f>
        <v/>
      </c>
      <c r="AK5" s="7">
        <f>IF(OR(ISBLANK(AE5),AE5=0),NA(),IF(AE5&gt;0,100/(AE5+100),-(AE5)/(-(AE5)+100)))</f>
        <v/>
      </c>
      <c r="AL5" s="7">
        <f>IF(OR(ISNA(AK5),ISNA(AJ5)),NA(),AJ5/(AK5+AJ5))</f>
        <v/>
      </c>
      <c r="AM5" s="7">
        <f>IF(OR(ISNA(AK5),ISNA(AJ5)),NA(),AK5/(AK5+AJ5))</f>
        <v/>
      </c>
      <c r="AN5" s="7">
        <f>N5-AL5</f>
        <v/>
      </c>
      <c r="AO5" s="7">
        <f>O5-AM5</f>
        <v/>
      </c>
      <c r="AP5">
        <f>IF(BK5&gt;=BL5,H5,G5)</f>
        <v/>
      </c>
      <c r="AQ5" s="7">
        <f>MAX(0,BK5,BL5)</f>
        <v/>
      </c>
      <c r="AR5">
        <f>IF(AQ5&lt;=0,"PASS",IF(AQ5&lt;0.02,"PASS",IF(AQ5&lt;0.04,"LEAN",IF(AQ5&lt;0.07,"SMALL",IF(AQ5&lt;0.10,"MEDIUM","STRONG")))))</f>
        <v/>
      </c>
      <c r="AS5" s="4">
        <f>IF(AQ5&lt;0.01,1,IF(AQ5&lt;0.02,2,IF(AQ5&lt;0.03,3,IF(AQ5&lt;0.04,4,IF(AQ5&lt;0.05,5,IF(AQ5&lt;0.06,6,IF(AQ5&lt;0.07,7,IF(AQ5&lt;0.08,8,IF(AQ5&lt;0.10,9,10)))))))))</f>
        <v/>
      </c>
      <c r="AT5" s="7">
        <f>IF(AP5=H5,(BG5)*(IF(AC5&gt;0,AC5/100,100/ABS(AC5)))-(1-(BG5)),(BH5)*(IF(AA5&gt;0,AA5/100,100/ABS(AA5)))-(1-(BH5)))</f>
        <v/>
      </c>
      <c r="AU5">
        <f>IF((O5-AK5)&gt;=(N5-AJ5),H5,G5)</f>
        <v/>
      </c>
      <c r="AV5" s="7">
        <f>MAX(0,(O5-AK5),(N5-AJ5))</f>
        <v/>
      </c>
      <c r="AW5">
        <f>IF(AV5&lt;=0,"PASS",IF(AV5&lt;0.02,"PASS",IF(AV5&lt;0.04,"LEAN",IF(AV5&lt;0.07,"SMALL",IF(AV5&lt;0.10,"MEDIUM","STRONG")))))</f>
        <v/>
      </c>
      <c r="AX5" s="4">
        <f>IF(AV5&lt;0.01,1,IF(AV5&lt;0.02,2,IF(AV5&lt;0.03,3,IF(AV5&lt;0.04,4,IF(AV5&lt;0.05,5,IF(AV5&lt;0.06,6,IF(AV5&lt;0.07,7,IF(AV5&lt;0.08,8,IF(AV5&lt;0.10,9,10)))))))))</f>
        <v/>
      </c>
      <c r="AY5" s="7">
        <f>IF(AU5=H5,(O5)*(IF(AE5&gt;0,AE5/100,100/ABS(AE5)))-(1-(O5)),(N5)*(IF(AD5&gt;0,AD5/100,100/ABS(AD5)))-(1-(N5)))</f>
        <v/>
      </c>
      <c r="AZ5">
        <f>IF(BS5&gt;=BT5,"OVER","UNDER")</f>
        <v/>
      </c>
      <c r="BA5" s="7">
        <f>MAX(0,BS5,BT5)</f>
        <v/>
      </c>
      <c r="BB5">
        <f>IF(BA5&lt;=0,"PASS",IF(BA5&lt;0.02,"PASS",IF(BA5&lt;0.04,"LEAN",IF(BA5&lt;0.07,"SMALL",IF(BA5&lt;0.10,"MEDIUM","STRONG")))))</f>
        <v/>
      </c>
      <c r="BC5" s="4">
        <f>IF(BA5&lt;0.01,1,IF(BA5&lt;0.02,2,IF(BA5&lt;0.03,3,IF(BA5&lt;0.04,4,IF(BA5&lt;0.05,5,IF(BA5&lt;0.06,6,IF(BA5&lt;0.07,7,IF(BA5&lt;0.08,8,IF(BA5&lt;0.10,9,10)))))))))</f>
        <v/>
      </c>
      <c r="BD5" s="7">
        <f>IF(AZ5="OVER",(BO5)*(IF(AG5&gt;0,AG5/100,100/ABS(AG5)))-(1-(BO5)),(BP5)*(IF(AH5&gt;0,AH5/100,100/ABS(AH5)))-(1-(BP5)))</f>
        <v/>
      </c>
      <c r="BE5" s="6">
        <f>R5</f>
        <v/>
      </c>
      <c r="BF5" s="10">
        <f>IF(OR(ISBLANK(T5),ISBLANK(V5)),13,(V5-T5)/(2.56310313109))</f>
        <v/>
      </c>
      <c r="BG5" s="7">
        <f>IF(OR(ISNA(BF5),BF5&lt;=0,ISBLANK(AB5)),NA(),1-NORMSDIST(((-AB5)-(BE5))/(BF5)))</f>
        <v/>
      </c>
      <c r="BH5" s="7">
        <f>IF(OR(ISNA(BF5),BF5&lt;=0,ISBLANK(Z5)),NA(),NORMSDIST(((Z5)-(BE5))/(BF5)))</f>
        <v/>
      </c>
      <c r="BI5" s="7">
        <f>IF(OR(ISBLANK(AC5),AC5=0),NA(),IF(AC5&gt;0,100/(AC5+100),-(AC5)/(-(AC5)+100)))</f>
        <v/>
      </c>
      <c r="BJ5" s="7">
        <f>IF(OR(ISBLANK(AA5),AA5=0),NA(),IF(AA5&gt;0,100/(AA5+100),-(AA5)/(-(AA5)+100)))</f>
        <v/>
      </c>
      <c r="BK5" s="7">
        <f>BG5-BI5</f>
        <v/>
      </c>
      <c r="BL5" s="7">
        <f>BH5-BJ5</f>
        <v/>
      </c>
      <c r="BM5" s="6">
        <f>S5</f>
        <v/>
      </c>
      <c r="BN5" s="10">
        <f>IF(OR(ISBLANK(W5),ISBLANK(Y5)),16,(Y5-W5)/(2.56310313109))</f>
        <v/>
      </c>
      <c r="BO5" s="7">
        <f>IF(OR(ISNA(BN5),BN5&lt;=0,ISBLANK(AF5)),NA(),1-NORMSDIST(((AF5)-(BM5))/(BN5)))</f>
        <v/>
      </c>
      <c r="BP5" s="7">
        <f>IF(ISNA(BO5),NA(),1-(BO5))</f>
        <v/>
      </c>
      <c r="BQ5" s="7">
        <f>IF(OR(ISBLANK(AG5),AG5=0),NA(),IF(AG5&gt;0,100/(AG5+100),-(AG5)/(-(AG5)+100)))</f>
        <v/>
      </c>
      <c r="BR5" s="7">
        <f>IF(OR(ISBLANK(AH5),AH5=0),NA(),IF(AH5&gt;0,100/(AH5+100),-(AH5)/(-(AH5)+100)))</f>
        <v/>
      </c>
      <c r="BS5" s="7">
        <f>BO5-BQ5</f>
        <v/>
      </c>
      <c r="BT5" s="7">
        <f>BP5-BR5</f>
        <v/>
      </c>
    </row>
    <row r="6">
      <c r="A6" s="4" t="n">
        <v>2026</v>
      </c>
      <c r="B6" s="4" t="n">
        <v>1</v>
      </c>
      <c r="C6" t="inlineStr">
        <is>
          <t>2026-09-13</t>
        </is>
      </c>
      <c r="D6" t="inlineStr">
        <is>
          <t>13:00</t>
        </is>
      </c>
      <c r="E6" s="5" t="n">
        <v>46278.54166666666</v>
      </c>
      <c r="F6" t="inlineStr">
        <is>
          <t>2026_01_BUF_HOU</t>
        </is>
      </c>
      <c r="G6" t="inlineStr">
        <is>
          <t>BUF</t>
        </is>
      </c>
      <c r="H6" t="inlineStr">
        <is>
          <t>HOU</t>
        </is>
      </c>
      <c r="I6" s="6" t="n">
        <v>-1.5</v>
      </c>
      <c r="J6" s="6" t="n">
        <v>1.5</v>
      </c>
      <c r="K6" s="4" t="n">
        <v>-118</v>
      </c>
      <c r="L6" s="4" t="n">
        <v>-102</v>
      </c>
      <c r="M6" s="6" t="n">
        <v>44.5</v>
      </c>
      <c r="N6" s="7" t="n">
        <v>0.6677999999999999</v>
      </c>
      <c r="O6" s="7" t="n">
        <v>0.3322</v>
      </c>
      <c r="P6" s="6" t="n">
        <v>23.5</v>
      </c>
      <c r="Q6" s="6" t="n">
        <v>20.4</v>
      </c>
      <c r="R6" s="6" t="n">
        <v>-3.1</v>
      </c>
      <c r="S6" s="6" t="n">
        <v>43.9</v>
      </c>
      <c r="T6" s="6" t="n">
        <v>-19.1</v>
      </c>
      <c r="U6" s="6" t="n">
        <v>-1</v>
      </c>
      <c r="V6" s="6" t="n">
        <v>17.1</v>
      </c>
      <c r="W6" s="6" t="n">
        <v>28.2</v>
      </c>
      <c r="X6" s="6" t="n">
        <v>42.3</v>
      </c>
      <c r="Y6" s="6" t="n">
        <v>61.9</v>
      </c>
      <c r="Z6" s="8" t="n">
        <v>-1.5</v>
      </c>
      <c r="AA6" s="9" t="n">
        <v>-110</v>
      </c>
      <c r="AB6" s="8">
        <f>-Z6</f>
        <v/>
      </c>
      <c r="AC6" s="9" t="n">
        <v>-110</v>
      </c>
      <c r="AD6" s="9" t="n">
        <v>-118</v>
      </c>
      <c r="AE6" s="9" t="n">
        <v>-102</v>
      </c>
      <c r="AF6" s="8" t="n">
        <v>44.5</v>
      </c>
      <c r="AG6" s="9" t="n">
        <v>-110</v>
      </c>
      <c r="AH6" s="9" t="n">
        <v>-110</v>
      </c>
      <c r="AI6" s="6">
        <f>IF(OR(ISBLANK(AB6),ISBLANK(R6)),NA(),R6+AB6)</f>
        <v/>
      </c>
      <c r="AJ6" s="7">
        <f>IF(OR(ISBLANK(AD6),AD6=0),NA(),IF(AD6&gt;0,100/(AD6+100),-(AD6)/(-(AD6)+100)))</f>
        <v/>
      </c>
      <c r="AK6" s="7">
        <f>IF(OR(ISBLANK(AE6),AE6=0),NA(),IF(AE6&gt;0,100/(AE6+100),-(AE6)/(-(AE6)+100)))</f>
        <v/>
      </c>
      <c r="AL6" s="7">
        <f>IF(OR(ISNA(AK6),ISNA(AJ6)),NA(),AJ6/(AK6+AJ6))</f>
        <v/>
      </c>
      <c r="AM6" s="7">
        <f>IF(OR(ISNA(AK6),ISNA(AJ6)),NA(),AK6/(AK6+AJ6))</f>
        <v/>
      </c>
      <c r="AN6" s="7">
        <f>N6-AL6</f>
        <v/>
      </c>
      <c r="AO6" s="7">
        <f>O6-AM6</f>
        <v/>
      </c>
      <c r="AP6">
        <f>IF(BK6&gt;=BL6,H6,G6)</f>
        <v/>
      </c>
      <c r="AQ6" s="7">
        <f>MAX(0,BK6,BL6)</f>
        <v/>
      </c>
      <c r="AR6">
        <f>IF(AQ6&lt;=0,"PASS",IF(AQ6&lt;0.02,"PASS",IF(AQ6&lt;0.04,"LEAN",IF(AQ6&lt;0.07,"SMALL",IF(AQ6&lt;0.10,"MEDIUM","STRONG")))))</f>
        <v/>
      </c>
      <c r="AS6" s="4">
        <f>IF(AQ6&lt;0.01,1,IF(AQ6&lt;0.02,2,IF(AQ6&lt;0.03,3,IF(AQ6&lt;0.04,4,IF(AQ6&lt;0.05,5,IF(AQ6&lt;0.06,6,IF(AQ6&lt;0.07,7,IF(AQ6&lt;0.08,8,IF(AQ6&lt;0.10,9,10)))))))))</f>
        <v/>
      </c>
      <c r="AT6" s="7">
        <f>IF(AP6=H6,(BG6)*(IF(AC6&gt;0,AC6/100,100/ABS(AC6)))-(1-(BG6)),(BH6)*(IF(AA6&gt;0,AA6/100,100/ABS(AA6)))-(1-(BH6)))</f>
        <v/>
      </c>
      <c r="AU6">
        <f>IF((O6-AK6)&gt;=(N6-AJ6),H6,G6)</f>
        <v/>
      </c>
      <c r="AV6" s="7">
        <f>MAX(0,(O6-AK6),(N6-AJ6))</f>
        <v/>
      </c>
      <c r="AW6">
        <f>IF(AV6&lt;=0,"PASS",IF(AV6&lt;0.02,"PASS",IF(AV6&lt;0.04,"LEAN",IF(AV6&lt;0.07,"SMALL",IF(AV6&lt;0.10,"MEDIUM","STRONG")))))</f>
        <v/>
      </c>
      <c r="AX6" s="4">
        <f>IF(AV6&lt;0.01,1,IF(AV6&lt;0.02,2,IF(AV6&lt;0.03,3,IF(AV6&lt;0.04,4,IF(AV6&lt;0.05,5,IF(AV6&lt;0.06,6,IF(AV6&lt;0.07,7,IF(AV6&lt;0.08,8,IF(AV6&lt;0.10,9,10)))))))))</f>
        <v/>
      </c>
      <c r="AY6" s="7">
        <f>IF(AU6=H6,(O6)*(IF(AE6&gt;0,AE6/100,100/ABS(AE6)))-(1-(O6)),(N6)*(IF(AD6&gt;0,AD6/100,100/ABS(AD6)))-(1-(N6)))</f>
        <v/>
      </c>
      <c r="AZ6">
        <f>IF(BS6&gt;=BT6,"OVER","UNDER")</f>
        <v/>
      </c>
      <c r="BA6" s="7">
        <f>MAX(0,BS6,BT6)</f>
        <v/>
      </c>
      <c r="BB6">
        <f>IF(BA6&lt;=0,"PASS",IF(BA6&lt;0.02,"PASS",IF(BA6&lt;0.04,"LEAN",IF(BA6&lt;0.07,"SMALL",IF(BA6&lt;0.10,"MEDIUM","STRONG")))))</f>
        <v/>
      </c>
      <c r="BC6" s="4">
        <f>IF(BA6&lt;0.01,1,IF(BA6&lt;0.02,2,IF(BA6&lt;0.03,3,IF(BA6&lt;0.04,4,IF(BA6&lt;0.05,5,IF(BA6&lt;0.06,6,IF(BA6&lt;0.07,7,IF(BA6&lt;0.08,8,IF(BA6&lt;0.10,9,10)))))))))</f>
        <v/>
      </c>
      <c r="BD6" s="7">
        <f>IF(AZ6="OVER",(BO6)*(IF(AG6&gt;0,AG6/100,100/ABS(AG6)))-(1-(BO6)),(BP6)*(IF(AH6&gt;0,AH6/100,100/ABS(AH6)))-(1-(BP6)))</f>
        <v/>
      </c>
      <c r="BE6" s="6">
        <f>R6</f>
        <v/>
      </c>
      <c r="BF6" s="10">
        <f>IF(OR(ISBLANK(T6),ISBLANK(V6)),13,(V6-T6)/(2.56310313109))</f>
        <v/>
      </c>
      <c r="BG6" s="7">
        <f>IF(OR(ISNA(BF6),BF6&lt;=0,ISBLANK(AB6)),NA(),1-NORMSDIST(((-AB6)-(BE6))/(BF6)))</f>
        <v/>
      </c>
      <c r="BH6" s="7">
        <f>IF(OR(ISNA(BF6),BF6&lt;=0,ISBLANK(Z6)),NA(),NORMSDIST(((Z6)-(BE6))/(BF6)))</f>
        <v/>
      </c>
      <c r="BI6" s="7">
        <f>IF(OR(ISBLANK(AC6),AC6=0),NA(),IF(AC6&gt;0,100/(AC6+100),-(AC6)/(-(AC6)+100)))</f>
        <v/>
      </c>
      <c r="BJ6" s="7">
        <f>IF(OR(ISBLANK(AA6),AA6=0),NA(),IF(AA6&gt;0,100/(AA6+100),-(AA6)/(-(AA6)+100)))</f>
        <v/>
      </c>
      <c r="BK6" s="7">
        <f>BG6-BI6</f>
        <v/>
      </c>
      <c r="BL6" s="7">
        <f>BH6-BJ6</f>
        <v/>
      </c>
      <c r="BM6" s="6">
        <f>S6</f>
        <v/>
      </c>
      <c r="BN6" s="10">
        <f>IF(OR(ISBLANK(W6),ISBLANK(Y6)),16,(Y6-W6)/(2.56310313109))</f>
        <v/>
      </c>
      <c r="BO6" s="7">
        <f>IF(OR(ISNA(BN6),BN6&lt;=0,ISBLANK(AF6)),NA(),1-NORMSDIST(((AF6)-(BM6))/(BN6)))</f>
        <v/>
      </c>
      <c r="BP6" s="7">
        <f>IF(ISNA(BO6),NA(),1-(BO6))</f>
        <v/>
      </c>
      <c r="BQ6" s="7">
        <f>IF(OR(ISBLANK(AG6),AG6=0),NA(),IF(AG6&gt;0,100/(AG6+100),-(AG6)/(-(AG6)+100)))</f>
        <v/>
      </c>
      <c r="BR6" s="7">
        <f>IF(OR(ISBLANK(AH6),AH6=0),NA(),IF(AH6&gt;0,100/(AH6+100),-(AH6)/(-(AH6)+100)))</f>
        <v/>
      </c>
      <c r="BS6" s="7">
        <f>BO6-BQ6</f>
        <v/>
      </c>
      <c r="BT6" s="7">
        <f>BP6-BR6</f>
        <v/>
      </c>
    </row>
    <row r="7">
      <c r="A7" s="4" t="n">
        <v>2026</v>
      </c>
      <c r="B7" s="4" t="n">
        <v>1</v>
      </c>
      <c r="C7" t="inlineStr">
        <is>
          <t>2026-09-13</t>
        </is>
      </c>
      <c r="D7" t="inlineStr">
        <is>
          <t>13:00</t>
        </is>
      </c>
      <c r="E7" s="5" t="n">
        <v>46278.54166666666</v>
      </c>
      <c r="F7" t="inlineStr">
        <is>
          <t>2026_01_CHI_CAR</t>
        </is>
      </c>
      <c r="G7" t="inlineStr">
        <is>
          <t>CHI</t>
        </is>
      </c>
      <c r="H7" t="inlineStr">
        <is>
          <t>CAR</t>
        </is>
      </c>
      <c r="I7" s="6" t="n">
        <v>-3</v>
      </c>
      <c r="J7" s="6" t="n">
        <v>3</v>
      </c>
      <c r="K7" s="4" t="n">
        <v>-162</v>
      </c>
      <c r="L7" s="4" t="n">
        <v>136</v>
      </c>
      <c r="M7" s="6" t="n">
        <v>46.5</v>
      </c>
      <c r="N7" s="7" t="n">
        <v>0.6873</v>
      </c>
      <c r="O7" s="7" t="n">
        <v>0.3127</v>
      </c>
      <c r="P7" s="6" t="n">
        <v>23.8</v>
      </c>
      <c r="Q7" s="6" t="n">
        <v>20.2</v>
      </c>
      <c r="R7" s="6" t="n">
        <v>-3.6</v>
      </c>
      <c r="S7" s="6" t="n">
        <v>44.1</v>
      </c>
      <c r="T7" s="6" t="n">
        <v>-18.6</v>
      </c>
      <c r="U7" s="6" t="n">
        <v>-1.8</v>
      </c>
      <c r="V7" s="6" t="n">
        <v>12.9</v>
      </c>
      <c r="W7" s="6" t="n">
        <v>28.9</v>
      </c>
      <c r="X7" s="6" t="n">
        <v>42.9</v>
      </c>
      <c r="Y7" s="6" t="n">
        <v>61.8</v>
      </c>
      <c r="Z7" s="8" t="n">
        <v>-3</v>
      </c>
      <c r="AA7" s="9" t="n">
        <v>-110</v>
      </c>
      <c r="AB7" s="8">
        <f>-Z7</f>
        <v/>
      </c>
      <c r="AC7" s="9" t="n">
        <v>-110</v>
      </c>
      <c r="AD7" s="9" t="n">
        <v>-162</v>
      </c>
      <c r="AE7" s="9" t="n">
        <v>136</v>
      </c>
      <c r="AF7" s="8" t="n">
        <v>46.5</v>
      </c>
      <c r="AG7" s="9" t="n">
        <v>-110</v>
      </c>
      <c r="AH7" s="9" t="n">
        <v>-110</v>
      </c>
      <c r="AI7" s="6">
        <f>IF(OR(ISBLANK(AB7),ISBLANK(R7)),NA(),R7+AB7)</f>
        <v/>
      </c>
      <c r="AJ7" s="7">
        <f>IF(OR(ISBLANK(AD7),AD7=0),NA(),IF(AD7&gt;0,100/(AD7+100),-(AD7)/(-(AD7)+100)))</f>
        <v/>
      </c>
      <c r="AK7" s="7">
        <f>IF(OR(ISBLANK(AE7),AE7=0),NA(),IF(AE7&gt;0,100/(AE7+100),-(AE7)/(-(AE7)+100)))</f>
        <v/>
      </c>
      <c r="AL7" s="7">
        <f>IF(OR(ISNA(AK7),ISNA(AJ7)),NA(),AJ7/(AK7+AJ7))</f>
        <v/>
      </c>
      <c r="AM7" s="7">
        <f>IF(OR(ISNA(AK7),ISNA(AJ7)),NA(),AK7/(AK7+AJ7))</f>
        <v/>
      </c>
      <c r="AN7" s="7">
        <f>N7-AL7</f>
        <v/>
      </c>
      <c r="AO7" s="7">
        <f>O7-AM7</f>
        <v/>
      </c>
      <c r="AP7">
        <f>IF(BK7&gt;=BL7,H7,G7)</f>
        <v/>
      </c>
      <c r="AQ7" s="7">
        <f>MAX(0,BK7,BL7)</f>
        <v/>
      </c>
      <c r="AR7">
        <f>IF(AQ7&lt;=0,"PASS",IF(AQ7&lt;0.02,"PASS",IF(AQ7&lt;0.04,"LEAN",IF(AQ7&lt;0.07,"SMALL",IF(AQ7&lt;0.10,"MEDIUM","STRONG")))))</f>
        <v/>
      </c>
      <c r="AS7" s="4">
        <f>IF(AQ7&lt;0.01,1,IF(AQ7&lt;0.02,2,IF(AQ7&lt;0.03,3,IF(AQ7&lt;0.04,4,IF(AQ7&lt;0.05,5,IF(AQ7&lt;0.06,6,IF(AQ7&lt;0.07,7,IF(AQ7&lt;0.08,8,IF(AQ7&lt;0.10,9,10)))))))))</f>
        <v/>
      </c>
      <c r="AT7" s="7">
        <f>IF(AP7=H7,(BG7)*(IF(AC7&gt;0,AC7/100,100/ABS(AC7)))-(1-(BG7)),(BH7)*(IF(AA7&gt;0,AA7/100,100/ABS(AA7)))-(1-(BH7)))</f>
        <v/>
      </c>
      <c r="AU7">
        <f>IF((O7-AK7)&gt;=(N7-AJ7),H7,G7)</f>
        <v/>
      </c>
      <c r="AV7" s="7">
        <f>MAX(0,(O7-AK7),(N7-AJ7))</f>
        <v/>
      </c>
      <c r="AW7">
        <f>IF(AV7&lt;=0,"PASS",IF(AV7&lt;0.02,"PASS",IF(AV7&lt;0.04,"LEAN",IF(AV7&lt;0.07,"SMALL",IF(AV7&lt;0.10,"MEDIUM","STRONG")))))</f>
        <v/>
      </c>
      <c r="AX7" s="4">
        <f>IF(AV7&lt;0.01,1,IF(AV7&lt;0.02,2,IF(AV7&lt;0.03,3,IF(AV7&lt;0.04,4,IF(AV7&lt;0.05,5,IF(AV7&lt;0.06,6,IF(AV7&lt;0.07,7,IF(AV7&lt;0.08,8,IF(AV7&lt;0.10,9,10)))))))))</f>
        <v/>
      </c>
      <c r="AY7" s="7">
        <f>IF(AU7=H7,(O7)*(IF(AE7&gt;0,AE7/100,100/ABS(AE7)))-(1-(O7)),(N7)*(IF(AD7&gt;0,AD7/100,100/ABS(AD7)))-(1-(N7)))</f>
        <v/>
      </c>
      <c r="AZ7">
        <f>IF(BS7&gt;=BT7,"OVER","UNDER")</f>
        <v/>
      </c>
      <c r="BA7" s="7">
        <f>MAX(0,BS7,BT7)</f>
        <v/>
      </c>
      <c r="BB7">
        <f>IF(BA7&lt;=0,"PASS",IF(BA7&lt;0.02,"PASS",IF(BA7&lt;0.04,"LEAN",IF(BA7&lt;0.07,"SMALL",IF(BA7&lt;0.10,"MEDIUM","STRONG")))))</f>
        <v/>
      </c>
      <c r="BC7" s="4">
        <f>IF(BA7&lt;0.01,1,IF(BA7&lt;0.02,2,IF(BA7&lt;0.03,3,IF(BA7&lt;0.04,4,IF(BA7&lt;0.05,5,IF(BA7&lt;0.06,6,IF(BA7&lt;0.07,7,IF(BA7&lt;0.08,8,IF(BA7&lt;0.10,9,10)))))))))</f>
        <v/>
      </c>
      <c r="BD7" s="7">
        <f>IF(AZ7="OVER",(BO7)*(IF(AG7&gt;0,AG7/100,100/ABS(AG7)))-(1-(BO7)),(BP7)*(IF(AH7&gt;0,AH7/100,100/ABS(AH7)))-(1-(BP7)))</f>
        <v/>
      </c>
      <c r="BE7" s="6">
        <f>R7</f>
        <v/>
      </c>
      <c r="BF7" s="10">
        <f>IF(OR(ISBLANK(T7),ISBLANK(V7)),13,(V7-T7)/(2.56310313109))</f>
        <v/>
      </c>
      <c r="BG7" s="7">
        <f>IF(OR(ISNA(BF7),BF7&lt;=0,ISBLANK(AB7)),NA(),1-NORMSDIST(((-AB7)-(BE7))/(BF7)))</f>
        <v/>
      </c>
      <c r="BH7" s="7">
        <f>IF(OR(ISNA(BF7),BF7&lt;=0,ISBLANK(Z7)),NA(),NORMSDIST(((Z7)-(BE7))/(BF7)))</f>
        <v/>
      </c>
      <c r="BI7" s="7">
        <f>IF(OR(ISBLANK(AC7),AC7=0),NA(),IF(AC7&gt;0,100/(AC7+100),-(AC7)/(-(AC7)+100)))</f>
        <v/>
      </c>
      <c r="BJ7" s="7">
        <f>IF(OR(ISBLANK(AA7),AA7=0),NA(),IF(AA7&gt;0,100/(AA7+100),-(AA7)/(-(AA7)+100)))</f>
        <v/>
      </c>
      <c r="BK7" s="7">
        <f>BG7-BI7</f>
        <v/>
      </c>
      <c r="BL7" s="7">
        <f>BH7-BJ7</f>
        <v/>
      </c>
      <c r="BM7" s="6">
        <f>S7</f>
        <v/>
      </c>
      <c r="BN7" s="10">
        <f>IF(OR(ISBLANK(W7),ISBLANK(Y7)),16,(Y7-W7)/(2.56310313109))</f>
        <v/>
      </c>
      <c r="BO7" s="7">
        <f>IF(OR(ISNA(BN7),BN7&lt;=0,ISBLANK(AF7)),NA(),1-NORMSDIST(((AF7)-(BM7))/(BN7)))</f>
        <v/>
      </c>
      <c r="BP7" s="7">
        <f>IF(ISNA(BO7),NA(),1-(BO7))</f>
        <v/>
      </c>
      <c r="BQ7" s="7">
        <f>IF(OR(ISBLANK(AG7),AG7=0),NA(),IF(AG7&gt;0,100/(AG7+100),-(AG7)/(-(AG7)+100)))</f>
        <v/>
      </c>
      <c r="BR7" s="7">
        <f>IF(OR(ISBLANK(AH7),AH7=0),NA(),IF(AH7&gt;0,100/(AH7+100),-(AH7)/(-(AH7)+100)))</f>
        <v/>
      </c>
      <c r="BS7" s="7">
        <f>BO7-BQ7</f>
        <v/>
      </c>
      <c r="BT7" s="7">
        <f>BP7-BR7</f>
        <v/>
      </c>
    </row>
    <row r="8">
      <c r="A8" s="4" t="n">
        <v>2026</v>
      </c>
      <c r="B8" s="4" t="n">
        <v>1</v>
      </c>
      <c r="C8" t="inlineStr">
        <is>
          <t>2026-09-13</t>
        </is>
      </c>
      <c r="D8" t="inlineStr">
        <is>
          <t>13:00</t>
        </is>
      </c>
      <c r="E8" s="5" t="n">
        <v>46278.54166666666</v>
      </c>
      <c r="F8" t="inlineStr">
        <is>
          <t>2026_01_CLE_JAX</t>
        </is>
      </c>
      <c r="G8" t="inlineStr">
        <is>
          <t>CLE</t>
        </is>
      </c>
      <c r="H8" t="inlineStr">
        <is>
          <t>JAX</t>
        </is>
      </c>
      <c r="I8" s="6" t="n">
        <v>8.5</v>
      </c>
      <c r="J8" s="6" t="n">
        <v>-8.5</v>
      </c>
      <c r="K8" s="4" t="n">
        <v>360</v>
      </c>
      <c r="L8" s="4" t="n">
        <v>-470</v>
      </c>
      <c r="M8" s="6" t="n">
        <v>40.5</v>
      </c>
      <c r="N8" s="7" t="n">
        <v>0.1827</v>
      </c>
      <c r="O8" s="7" t="n">
        <v>0.8173</v>
      </c>
      <c r="P8" s="6" t="n">
        <v>17.9</v>
      </c>
      <c r="Q8" s="6" t="n">
        <v>26.1</v>
      </c>
      <c r="R8" s="6" t="n">
        <v>8.1</v>
      </c>
      <c r="S8" s="6" t="n">
        <v>44</v>
      </c>
      <c r="T8" s="6" t="n">
        <v>-6.2</v>
      </c>
      <c r="U8" s="6" t="n">
        <v>8.6</v>
      </c>
      <c r="V8" s="6" t="n">
        <v>24.9</v>
      </c>
      <c r="W8" s="6" t="n">
        <v>26</v>
      </c>
      <c r="X8" s="6" t="n">
        <v>40.9</v>
      </c>
      <c r="Y8" s="6" t="n">
        <v>57.8</v>
      </c>
      <c r="Z8" s="8" t="n">
        <v>8.5</v>
      </c>
      <c r="AA8" s="9" t="n">
        <v>-110</v>
      </c>
      <c r="AB8" s="8">
        <f>-Z8</f>
        <v/>
      </c>
      <c r="AC8" s="9" t="n">
        <v>-110</v>
      </c>
      <c r="AD8" s="9" t="n">
        <v>360</v>
      </c>
      <c r="AE8" s="9" t="n">
        <v>-470</v>
      </c>
      <c r="AF8" s="8" t="n">
        <v>40.5</v>
      </c>
      <c r="AG8" s="9" t="n">
        <v>-110</v>
      </c>
      <c r="AH8" s="9" t="n">
        <v>-110</v>
      </c>
      <c r="AI8" s="6">
        <f>IF(OR(ISBLANK(AB8),ISBLANK(R8)),NA(),R8+AB8)</f>
        <v/>
      </c>
      <c r="AJ8" s="7">
        <f>IF(OR(ISBLANK(AD8),AD8=0),NA(),IF(AD8&gt;0,100/(AD8+100),-(AD8)/(-(AD8)+100)))</f>
        <v/>
      </c>
      <c r="AK8" s="7">
        <f>IF(OR(ISBLANK(AE8),AE8=0),NA(),IF(AE8&gt;0,100/(AE8+100),-(AE8)/(-(AE8)+100)))</f>
        <v/>
      </c>
      <c r="AL8" s="7">
        <f>IF(OR(ISNA(AK8),ISNA(AJ8)),NA(),AJ8/(AK8+AJ8))</f>
        <v/>
      </c>
      <c r="AM8" s="7">
        <f>IF(OR(ISNA(AK8),ISNA(AJ8)),NA(),AK8/(AK8+AJ8))</f>
        <v/>
      </c>
      <c r="AN8" s="7">
        <f>N8-AL8</f>
        <v/>
      </c>
      <c r="AO8" s="7">
        <f>O8-AM8</f>
        <v/>
      </c>
      <c r="AP8">
        <f>IF(BK8&gt;=BL8,H8,G8)</f>
        <v/>
      </c>
      <c r="AQ8" s="7">
        <f>MAX(0,BK8,BL8)</f>
        <v/>
      </c>
      <c r="AR8">
        <f>IF(AQ8&lt;=0,"PASS",IF(AQ8&lt;0.02,"PASS",IF(AQ8&lt;0.04,"LEAN",IF(AQ8&lt;0.07,"SMALL",IF(AQ8&lt;0.10,"MEDIUM","STRONG")))))</f>
        <v/>
      </c>
      <c r="AS8" s="4">
        <f>IF(AQ8&lt;0.01,1,IF(AQ8&lt;0.02,2,IF(AQ8&lt;0.03,3,IF(AQ8&lt;0.04,4,IF(AQ8&lt;0.05,5,IF(AQ8&lt;0.06,6,IF(AQ8&lt;0.07,7,IF(AQ8&lt;0.08,8,IF(AQ8&lt;0.10,9,10)))))))))</f>
        <v/>
      </c>
      <c r="AT8" s="7">
        <f>IF(AP8=H8,(BG8)*(IF(AC8&gt;0,AC8/100,100/ABS(AC8)))-(1-(BG8)),(BH8)*(IF(AA8&gt;0,AA8/100,100/ABS(AA8)))-(1-(BH8)))</f>
        <v/>
      </c>
      <c r="AU8">
        <f>IF((O8-AK8)&gt;=(N8-AJ8),H8,G8)</f>
        <v/>
      </c>
      <c r="AV8" s="7">
        <f>MAX(0,(O8-AK8),(N8-AJ8))</f>
        <v/>
      </c>
      <c r="AW8">
        <f>IF(AV8&lt;=0,"PASS",IF(AV8&lt;0.02,"PASS",IF(AV8&lt;0.04,"LEAN",IF(AV8&lt;0.07,"SMALL",IF(AV8&lt;0.10,"MEDIUM","STRONG")))))</f>
        <v/>
      </c>
      <c r="AX8" s="4">
        <f>IF(AV8&lt;0.01,1,IF(AV8&lt;0.02,2,IF(AV8&lt;0.03,3,IF(AV8&lt;0.04,4,IF(AV8&lt;0.05,5,IF(AV8&lt;0.06,6,IF(AV8&lt;0.07,7,IF(AV8&lt;0.08,8,IF(AV8&lt;0.10,9,10)))))))))</f>
        <v/>
      </c>
      <c r="AY8" s="7">
        <f>IF(AU8=H8,(O8)*(IF(AE8&gt;0,AE8/100,100/ABS(AE8)))-(1-(O8)),(N8)*(IF(AD8&gt;0,AD8/100,100/ABS(AD8)))-(1-(N8)))</f>
        <v/>
      </c>
      <c r="AZ8">
        <f>IF(BS8&gt;=BT8,"OVER","UNDER")</f>
        <v/>
      </c>
      <c r="BA8" s="7">
        <f>MAX(0,BS8,BT8)</f>
        <v/>
      </c>
      <c r="BB8">
        <f>IF(BA8&lt;=0,"PASS",IF(BA8&lt;0.02,"PASS",IF(BA8&lt;0.04,"LEAN",IF(BA8&lt;0.07,"SMALL",IF(BA8&lt;0.10,"MEDIUM","STRONG")))))</f>
        <v/>
      </c>
      <c r="BC8" s="4">
        <f>IF(BA8&lt;0.01,1,IF(BA8&lt;0.02,2,IF(BA8&lt;0.03,3,IF(BA8&lt;0.04,4,IF(BA8&lt;0.05,5,IF(BA8&lt;0.06,6,IF(BA8&lt;0.07,7,IF(BA8&lt;0.08,8,IF(BA8&lt;0.10,9,10)))))))))</f>
        <v/>
      </c>
      <c r="BD8" s="7">
        <f>IF(AZ8="OVER",(BO8)*(IF(AG8&gt;0,AG8/100,100/ABS(AG8)))-(1-(BO8)),(BP8)*(IF(AH8&gt;0,AH8/100,100/ABS(AH8)))-(1-(BP8)))</f>
        <v/>
      </c>
      <c r="BE8" s="6">
        <f>R8</f>
        <v/>
      </c>
      <c r="BF8" s="10">
        <f>IF(OR(ISBLANK(T8),ISBLANK(V8)),13,(V8-T8)/(2.56310313109))</f>
        <v/>
      </c>
      <c r="BG8" s="7">
        <f>IF(OR(ISNA(BF8),BF8&lt;=0,ISBLANK(AB8)),NA(),1-NORMSDIST(((-AB8)-(BE8))/(BF8)))</f>
        <v/>
      </c>
      <c r="BH8" s="7">
        <f>IF(OR(ISNA(BF8),BF8&lt;=0,ISBLANK(Z8)),NA(),NORMSDIST(((Z8)-(BE8))/(BF8)))</f>
        <v/>
      </c>
      <c r="BI8" s="7">
        <f>IF(OR(ISBLANK(AC8),AC8=0),NA(),IF(AC8&gt;0,100/(AC8+100),-(AC8)/(-(AC8)+100)))</f>
        <v/>
      </c>
      <c r="BJ8" s="7">
        <f>IF(OR(ISBLANK(AA8),AA8=0),NA(),IF(AA8&gt;0,100/(AA8+100),-(AA8)/(-(AA8)+100)))</f>
        <v/>
      </c>
      <c r="BK8" s="7">
        <f>BG8-BI8</f>
        <v/>
      </c>
      <c r="BL8" s="7">
        <f>BH8-BJ8</f>
        <v/>
      </c>
      <c r="BM8" s="6">
        <f>S8</f>
        <v/>
      </c>
      <c r="BN8" s="10">
        <f>IF(OR(ISBLANK(W8),ISBLANK(Y8)),16,(Y8-W8)/(2.56310313109))</f>
        <v/>
      </c>
      <c r="BO8" s="7">
        <f>IF(OR(ISNA(BN8),BN8&lt;=0,ISBLANK(AF8)),NA(),1-NORMSDIST(((AF8)-(BM8))/(BN8)))</f>
        <v/>
      </c>
      <c r="BP8" s="7">
        <f>IF(ISNA(BO8),NA(),1-(BO8))</f>
        <v/>
      </c>
      <c r="BQ8" s="7">
        <f>IF(OR(ISBLANK(AG8),AG8=0),NA(),IF(AG8&gt;0,100/(AG8+100),-(AG8)/(-(AG8)+100)))</f>
        <v/>
      </c>
      <c r="BR8" s="7">
        <f>IF(OR(ISBLANK(AH8),AH8=0),NA(),IF(AH8&gt;0,100/(AH8+100),-(AH8)/(-(AH8)+100)))</f>
        <v/>
      </c>
      <c r="BS8" s="7">
        <f>BO8-BQ8</f>
        <v/>
      </c>
      <c r="BT8" s="7">
        <f>BP8-BR8</f>
        <v/>
      </c>
    </row>
    <row r="9">
      <c r="A9" s="4" t="n">
        <v>2026</v>
      </c>
      <c r="B9" s="4" t="n">
        <v>1</v>
      </c>
      <c r="C9" t="inlineStr">
        <is>
          <t>2026-09-13</t>
        </is>
      </c>
      <c r="D9" t="inlineStr">
        <is>
          <t>13:00</t>
        </is>
      </c>
      <c r="E9" s="5" t="n">
        <v>46278.54166666666</v>
      </c>
      <c r="F9" t="inlineStr">
        <is>
          <t>2026_01_NO_DET</t>
        </is>
      </c>
      <c r="G9" t="inlineStr">
        <is>
          <t>NO</t>
        </is>
      </c>
      <c r="H9" t="inlineStr">
        <is>
          <t>DET</t>
        </is>
      </c>
      <c r="I9" s="6" t="n">
        <v>7</v>
      </c>
      <c r="J9" s="6" t="n">
        <v>-7</v>
      </c>
      <c r="K9" s="4" t="n">
        <v>250</v>
      </c>
      <c r="L9" s="4" t="n">
        <v>-310</v>
      </c>
      <c r="M9" s="6" t="n">
        <v>49.5</v>
      </c>
      <c r="N9" s="7" t="n">
        <v>0.2146</v>
      </c>
      <c r="O9" s="7" t="n">
        <v>0.7854</v>
      </c>
      <c r="P9" s="6" t="n">
        <v>18.5</v>
      </c>
      <c r="Q9" s="6" t="n">
        <v>25.6</v>
      </c>
      <c r="R9" s="6" t="n">
        <v>7.1</v>
      </c>
      <c r="S9" s="6" t="n">
        <v>44.1</v>
      </c>
      <c r="T9" s="6" t="n">
        <v>-10.4</v>
      </c>
      <c r="U9" s="6" t="n">
        <v>6.8</v>
      </c>
      <c r="V9" s="6" t="n">
        <v>23.1</v>
      </c>
      <c r="W9" s="6" t="n">
        <v>29.6</v>
      </c>
      <c r="X9" s="6" t="n">
        <v>44.9</v>
      </c>
      <c r="Y9" s="6" t="n">
        <v>64.7</v>
      </c>
      <c r="Z9" s="8" t="n">
        <v>7</v>
      </c>
      <c r="AA9" s="9" t="n">
        <v>-110</v>
      </c>
      <c r="AB9" s="8">
        <f>-Z9</f>
        <v/>
      </c>
      <c r="AC9" s="9" t="n">
        <v>-110</v>
      </c>
      <c r="AD9" s="9" t="n">
        <v>250</v>
      </c>
      <c r="AE9" s="9" t="n">
        <v>-310</v>
      </c>
      <c r="AF9" s="8" t="n">
        <v>49.5</v>
      </c>
      <c r="AG9" s="9" t="n">
        <v>-110</v>
      </c>
      <c r="AH9" s="9" t="n">
        <v>-110</v>
      </c>
      <c r="AI9" s="6">
        <f>IF(OR(ISBLANK(AB9),ISBLANK(R9)),NA(),R9+AB9)</f>
        <v/>
      </c>
      <c r="AJ9" s="7">
        <f>IF(OR(ISBLANK(AD9),AD9=0),NA(),IF(AD9&gt;0,100/(AD9+100),-(AD9)/(-(AD9)+100)))</f>
        <v/>
      </c>
      <c r="AK9" s="7">
        <f>IF(OR(ISBLANK(AE9),AE9=0),NA(),IF(AE9&gt;0,100/(AE9+100),-(AE9)/(-(AE9)+100)))</f>
        <v/>
      </c>
      <c r="AL9" s="7">
        <f>IF(OR(ISNA(AK9),ISNA(AJ9)),NA(),AJ9/(AK9+AJ9))</f>
        <v/>
      </c>
      <c r="AM9" s="7">
        <f>IF(OR(ISNA(AK9),ISNA(AJ9)),NA(),AK9/(AK9+AJ9))</f>
        <v/>
      </c>
      <c r="AN9" s="7">
        <f>N9-AL9</f>
        <v/>
      </c>
      <c r="AO9" s="7">
        <f>O9-AM9</f>
        <v/>
      </c>
      <c r="AP9">
        <f>IF(BK9&gt;=BL9,H9,G9)</f>
        <v/>
      </c>
      <c r="AQ9" s="7">
        <f>MAX(0,BK9,BL9)</f>
        <v/>
      </c>
      <c r="AR9">
        <f>IF(AQ9&lt;=0,"PASS",IF(AQ9&lt;0.02,"PASS",IF(AQ9&lt;0.04,"LEAN",IF(AQ9&lt;0.07,"SMALL",IF(AQ9&lt;0.10,"MEDIUM","STRONG")))))</f>
        <v/>
      </c>
      <c r="AS9" s="4">
        <f>IF(AQ9&lt;0.01,1,IF(AQ9&lt;0.02,2,IF(AQ9&lt;0.03,3,IF(AQ9&lt;0.04,4,IF(AQ9&lt;0.05,5,IF(AQ9&lt;0.06,6,IF(AQ9&lt;0.07,7,IF(AQ9&lt;0.08,8,IF(AQ9&lt;0.10,9,10)))))))))</f>
        <v/>
      </c>
      <c r="AT9" s="7">
        <f>IF(AP9=H9,(BG9)*(IF(AC9&gt;0,AC9/100,100/ABS(AC9)))-(1-(BG9)),(BH9)*(IF(AA9&gt;0,AA9/100,100/ABS(AA9)))-(1-(BH9)))</f>
        <v/>
      </c>
      <c r="AU9">
        <f>IF((O9-AK9)&gt;=(N9-AJ9),H9,G9)</f>
        <v/>
      </c>
      <c r="AV9" s="7">
        <f>MAX(0,(O9-AK9),(N9-AJ9))</f>
        <v/>
      </c>
      <c r="AW9">
        <f>IF(AV9&lt;=0,"PASS",IF(AV9&lt;0.02,"PASS",IF(AV9&lt;0.04,"LEAN",IF(AV9&lt;0.07,"SMALL",IF(AV9&lt;0.10,"MEDIUM","STRONG")))))</f>
        <v/>
      </c>
      <c r="AX9" s="4">
        <f>IF(AV9&lt;0.01,1,IF(AV9&lt;0.02,2,IF(AV9&lt;0.03,3,IF(AV9&lt;0.04,4,IF(AV9&lt;0.05,5,IF(AV9&lt;0.06,6,IF(AV9&lt;0.07,7,IF(AV9&lt;0.08,8,IF(AV9&lt;0.10,9,10)))))))))</f>
        <v/>
      </c>
      <c r="AY9" s="7">
        <f>IF(AU9=H9,(O9)*(IF(AE9&gt;0,AE9/100,100/ABS(AE9)))-(1-(O9)),(N9)*(IF(AD9&gt;0,AD9/100,100/ABS(AD9)))-(1-(N9)))</f>
        <v/>
      </c>
      <c r="AZ9">
        <f>IF(BS9&gt;=BT9,"OVER","UNDER")</f>
        <v/>
      </c>
      <c r="BA9" s="7">
        <f>MAX(0,BS9,BT9)</f>
        <v/>
      </c>
      <c r="BB9">
        <f>IF(BA9&lt;=0,"PASS",IF(BA9&lt;0.02,"PASS",IF(BA9&lt;0.04,"LEAN",IF(BA9&lt;0.07,"SMALL",IF(BA9&lt;0.10,"MEDIUM","STRONG")))))</f>
        <v/>
      </c>
      <c r="BC9" s="4">
        <f>IF(BA9&lt;0.01,1,IF(BA9&lt;0.02,2,IF(BA9&lt;0.03,3,IF(BA9&lt;0.04,4,IF(BA9&lt;0.05,5,IF(BA9&lt;0.06,6,IF(BA9&lt;0.07,7,IF(BA9&lt;0.08,8,IF(BA9&lt;0.10,9,10)))))))))</f>
        <v/>
      </c>
      <c r="BD9" s="7">
        <f>IF(AZ9="OVER",(BO9)*(IF(AG9&gt;0,AG9/100,100/ABS(AG9)))-(1-(BO9)),(BP9)*(IF(AH9&gt;0,AH9/100,100/ABS(AH9)))-(1-(BP9)))</f>
        <v/>
      </c>
      <c r="BE9" s="6">
        <f>R9</f>
        <v/>
      </c>
      <c r="BF9" s="10">
        <f>IF(OR(ISBLANK(T9),ISBLANK(V9)),13,(V9-T9)/(2.56310313109))</f>
        <v/>
      </c>
      <c r="BG9" s="7">
        <f>IF(OR(ISNA(BF9),BF9&lt;=0,ISBLANK(AB9)),NA(),1-NORMSDIST(((-AB9)-(BE9))/(BF9)))</f>
        <v/>
      </c>
      <c r="BH9" s="7">
        <f>IF(OR(ISNA(BF9),BF9&lt;=0,ISBLANK(Z9)),NA(),NORMSDIST(((Z9)-(BE9))/(BF9)))</f>
        <v/>
      </c>
      <c r="BI9" s="7">
        <f>IF(OR(ISBLANK(AC9),AC9=0),NA(),IF(AC9&gt;0,100/(AC9+100),-(AC9)/(-(AC9)+100)))</f>
        <v/>
      </c>
      <c r="BJ9" s="7">
        <f>IF(OR(ISBLANK(AA9),AA9=0),NA(),IF(AA9&gt;0,100/(AA9+100),-(AA9)/(-(AA9)+100)))</f>
        <v/>
      </c>
      <c r="BK9" s="7">
        <f>BG9-BI9</f>
        <v/>
      </c>
      <c r="BL9" s="7">
        <f>BH9-BJ9</f>
        <v/>
      </c>
      <c r="BM9" s="6">
        <f>S9</f>
        <v/>
      </c>
      <c r="BN9" s="10">
        <f>IF(OR(ISBLANK(W9),ISBLANK(Y9)),16,(Y9-W9)/(2.56310313109))</f>
        <v/>
      </c>
      <c r="BO9" s="7">
        <f>IF(OR(ISNA(BN9),BN9&lt;=0,ISBLANK(AF9)),NA(),1-NORMSDIST(((AF9)-(BM9))/(BN9)))</f>
        <v/>
      </c>
      <c r="BP9" s="7">
        <f>IF(ISNA(BO9),NA(),1-(BO9))</f>
        <v/>
      </c>
      <c r="BQ9" s="7">
        <f>IF(OR(ISBLANK(AG9),AG9=0),NA(),IF(AG9&gt;0,100/(AG9+100),-(AG9)/(-(AG9)+100)))</f>
        <v/>
      </c>
      <c r="BR9" s="7">
        <f>IF(OR(ISBLANK(AH9),AH9=0),NA(),IF(AH9&gt;0,100/(AH9+100),-(AH9)/(-(AH9)+100)))</f>
        <v/>
      </c>
      <c r="BS9" s="7">
        <f>BO9-BQ9</f>
        <v/>
      </c>
      <c r="BT9" s="7">
        <f>BP9-BR9</f>
        <v/>
      </c>
    </row>
    <row r="10">
      <c r="A10" s="4" t="n">
        <v>2026</v>
      </c>
      <c r="B10" s="4" t="n">
        <v>1</v>
      </c>
      <c r="C10" t="inlineStr">
        <is>
          <t>2026-09-13</t>
        </is>
      </c>
      <c r="D10" t="inlineStr">
        <is>
          <t>13:00</t>
        </is>
      </c>
      <c r="E10" s="5" t="n">
        <v>46278.54166666666</v>
      </c>
      <c r="F10" t="inlineStr">
        <is>
          <t>2026_01_NYJ_TEN</t>
        </is>
      </c>
      <c r="G10" t="inlineStr">
        <is>
          <t>NYJ</t>
        </is>
      </c>
      <c r="H10" t="inlineStr">
        <is>
          <t>TEN</t>
        </is>
      </c>
      <c r="I10" s="6" t="n">
        <v>1.5</v>
      </c>
      <c r="J10" s="6" t="n">
        <v>-1.5</v>
      </c>
      <c r="K10" s="4" t="n">
        <v>102</v>
      </c>
      <c r="L10" s="4" t="n">
        <v>-122</v>
      </c>
      <c r="M10" s="6" t="n">
        <v>38.5</v>
      </c>
      <c r="N10" s="7" t="n">
        <v>0.6188</v>
      </c>
      <c r="O10" s="7" t="n">
        <v>0.3812</v>
      </c>
      <c r="P10" s="6" t="n">
        <v>23</v>
      </c>
      <c r="Q10" s="6" t="n">
        <v>20.9</v>
      </c>
      <c r="R10" s="6" t="n">
        <v>-2</v>
      </c>
      <c r="S10" s="6" t="n">
        <v>43.9</v>
      </c>
      <c r="T10" s="6" t="n">
        <v>-14.7</v>
      </c>
      <c r="U10" s="6" t="n">
        <v>0.1</v>
      </c>
      <c r="V10" s="6" t="n">
        <v>16.7</v>
      </c>
      <c r="W10" s="6" t="n">
        <v>25.4</v>
      </c>
      <c r="X10" s="6" t="n">
        <v>39.8</v>
      </c>
      <c r="Y10" s="6" t="n">
        <v>57.6</v>
      </c>
      <c r="Z10" s="8" t="n">
        <v>1.5</v>
      </c>
      <c r="AA10" s="9" t="n">
        <v>-110</v>
      </c>
      <c r="AB10" s="8">
        <f>-Z10</f>
        <v/>
      </c>
      <c r="AC10" s="9" t="n">
        <v>-110</v>
      </c>
      <c r="AD10" s="9" t="n">
        <v>102</v>
      </c>
      <c r="AE10" s="9" t="n">
        <v>-122</v>
      </c>
      <c r="AF10" s="8" t="n">
        <v>38.5</v>
      </c>
      <c r="AG10" s="9" t="n">
        <v>-110</v>
      </c>
      <c r="AH10" s="9" t="n">
        <v>-110</v>
      </c>
      <c r="AI10" s="6">
        <f>IF(OR(ISBLANK(AB10),ISBLANK(R10)),NA(),R10+AB10)</f>
        <v/>
      </c>
      <c r="AJ10" s="7">
        <f>IF(OR(ISBLANK(AD10),AD10=0),NA(),IF(AD10&gt;0,100/(AD10+100),-(AD10)/(-(AD10)+100)))</f>
        <v/>
      </c>
      <c r="AK10" s="7">
        <f>IF(OR(ISBLANK(AE10),AE10=0),NA(),IF(AE10&gt;0,100/(AE10+100),-(AE10)/(-(AE10)+100)))</f>
        <v/>
      </c>
      <c r="AL10" s="7">
        <f>IF(OR(ISNA(AK10),ISNA(AJ10)),NA(),AJ10/(AK10+AJ10))</f>
        <v/>
      </c>
      <c r="AM10" s="7">
        <f>IF(OR(ISNA(AK10),ISNA(AJ10)),NA(),AK10/(AK10+AJ10))</f>
        <v/>
      </c>
      <c r="AN10" s="7">
        <f>N10-AL10</f>
        <v/>
      </c>
      <c r="AO10" s="7">
        <f>O10-AM10</f>
        <v/>
      </c>
      <c r="AP10">
        <f>IF(BK10&gt;=BL10,H10,G10)</f>
        <v/>
      </c>
      <c r="AQ10" s="7">
        <f>MAX(0,BK10,BL10)</f>
        <v/>
      </c>
      <c r="AR10">
        <f>IF(AQ10&lt;=0,"PASS",IF(AQ10&lt;0.02,"PASS",IF(AQ10&lt;0.04,"LEAN",IF(AQ10&lt;0.07,"SMALL",IF(AQ10&lt;0.10,"MEDIUM","STRONG")))))</f>
        <v/>
      </c>
      <c r="AS10" s="4">
        <f>IF(AQ10&lt;0.01,1,IF(AQ10&lt;0.02,2,IF(AQ10&lt;0.03,3,IF(AQ10&lt;0.04,4,IF(AQ10&lt;0.05,5,IF(AQ10&lt;0.06,6,IF(AQ10&lt;0.07,7,IF(AQ10&lt;0.08,8,IF(AQ10&lt;0.10,9,10)))))))))</f>
        <v/>
      </c>
      <c r="AT10" s="7">
        <f>IF(AP10=H10,(BG10)*(IF(AC10&gt;0,AC10/100,100/ABS(AC10)))-(1-(BG10)),(BH10)*(IF(AA10&gt;0,AA10/100,100/ABS(AA10)))-(1-(BH10)))</f>
        <v/>
      </c>
      <c r="AU10">
        <f>IF((O10-AK10)&gt;=(N10-AJ10),H10,G10)</f>
        <v/>
      </c>
      <c r="AV10" s="7">
        <f>MAX(0,(O10-AK10),(N10-AJ10))</f>
        <v/>
      </c>
      <c r="AW10">
        <f>IF(AV10&lt;=0,"PASS",IF(AV10&lt;0.02,"PASS",IF(AV10&lt;0.04,"LEAN",IF(AV10&lt;0.07,"SMALL",IF(AV10&lt;0.10,"MEDIUM","STRONG")))))</f>
        <v/>
      </c>
      <c r="AX10" s="4">
        <f>IF(AV10&lt;0.01,1,IF(AV10&lt;0.02,2,IF(AV10&lt;0.03,3,IF(AV10&lt;0.04,4,IF(AV10&lt;0.05,5,IF(AV10&lt;0.06,6,IF(AV10&lt;0.07,7,IF(AV10&lt;0.08,8,IF(AV10&lt;0.10,9,10)))))))))</f>
        <v/>
      </c>
      <c r="AY10" s="7">
        <f>IF(AU10=H10,(O10)*(IF(AE10&gt;0,AE10/100,100/ABS(AE10)))-(1-(O10)),(N10)*(IF(AD10&gt;0,AD10/100,100/ABS(AD10)))-(1-(N10)))</f>
        <v/>
      </c>
      <c r="AZ10">
        <f>IF(BS10&gt;=BT10,"OVER","UNDER")</f>
        <v/>
      </c>
      <c r="BA10" s="7">
        <f>MAX(0,BS10,BT10)</f>
        <v/>
      </c>
      <c r="BB10">
        <f>IF(BA10&lt;=0,"PASS",IF(BA10&lt;0.02,"PASS",IF(BA10&lt;0.04,"LEAN",IF(BA10&lt;0.07,"SMALL",IF(BA10&lt;0.10,"MEDIUM","STRONG")))))</f>
        <v/>
      </c>
      <c r="BC10" s="4">
        <f>IF(BA10&lt;0.01,1,IF(BA10&lt;0.02,2,IF(BA10&lt;0.03,3,IF(BA10&lt;0.04,4,IF(BA10&lt;0.05,5,IF(BA10&lt;0.06,6,IF(BA10&lt;0.07,7,IF(BA10&lt;0.08,8,IF(BA10&lt;0.10,9,10)))))))))</f>
        <v/>
      </c>
      <c r="BD10" s="7">
        <f>IF(AZ10="OVER",(BO10)*(IF(AG10&gt;0,AG10/100,100/ABS(AG10)))-(1-(BO10)),(BP10)*(IF(AH10&gt;0,AH10/100,100/ABS(AH10)))-(1-(BP10)))</f>
        <v/>
      </c>
      <c r="BE10" s="6">
        <f>R10</f>
        <v/>
      </c>
      <c r="BF10" s="10">
        <f>IF(OR(ISBLANK(T10),ISBLANK(V10)),13,(V10-T10)/(2.56310313109))</f>
        <v/>
      </c>
      <c r="BG10" s="7">
        <f>IF(OR(ISNA(BF10),BF10&lt;=0,ISBLANK(AB10)),NA(),1-NORMSDIST(((-AB10)-(BE10))/(BF10)))</f>
        <v/>
      </c>
      <c r="BH10" s="7">
        <f>IF(OR(ISNA(BF10),BF10&lt;=0,ISBLANK(Z10)),NA(),NORMSDIST(((Z10)-(BE10))/(BF10)))</f>
        <v/>
      </c>
      <c r="BI10" s="7">
        <f>IF(OR(ISBLANK(AC10),AC10=0),NA(),IF(AC10&gt;0,100/(AC10+100),-(AC10)/(-(AC10)+100)))</f>
        <v/>
      </c>
      <c r="BJ10" s="7">
        <f>IF(OR(ISBLANK(AA10),AA10=0),NA(),IF(AA10&gt;0,100/(AA10+100),-(AA10)/(-(AA10)+100)))</f>
        <v/>
      </c>
      <c r="BK10" s="7">
        <f>BG10-BI10</f>
        <v/>
      </c>
      <c r="BL10" s="7">
        <f>BH10-BJ10</f>
        <v/>
      </c>
      <c r="BM10" s="6">
        <f>S10</f>
        <v/>
      </c>
      <c r="BN10" s="10">
        <f>IF(OR(ISBLANK(W10),ISBLANK(Y10)),16,(Y10-W10)/(2.56310313109))</f>
        <v/>
      </c>
      <c r="BO10" s="7">
        <f>IF(OR(ISNA(BN10),BN10&lt;=0,ISBLANK(AF10)),NA(),1-NORMSDIST(((AF10)-(BM10))/(BN10)))</f>
        <v/>
      </c>
      <c r="BP10" s="7">
        <f>IF(ISNA(BO10),NA(),1-(BO10))</f>
        <v/>
      </c>
      <c r="BQ10" s="7">
        <f>IF(OR(ISBLANK(AG10),AG10=0),NA(),IF(AG10&gt;0,100/(AG10+100),-(AG10)/(-(AG10)+100)))</f>
        <v/>
      </c>
      <c r="BR10" s="7">
        <f>IF(OR(ISBLANK(AH10),AH10=0),NA(),IF(AH10&gt;0,100/(AH10+100),-(AH10)/(-(AH10)+100)))</f>
        <v/>
      </c>
      <c r="BS10" s="7">
        <f>BO10-BQ10</f>
        <v/>
      </c>
      <c r="BT10" s="7">
        <f>BP10-BR10</f>
        <v/>
      </c>
    </row>
    <row r="11">
      <c r="A11" s="4" t="n">
        <v>2026</v>
      </c>
      <c r="B11" s="4" t="n">
        <v>1</v>
      </c>
      <c r="C11" t="inlineStr">
        <is>
          <t>2026-09-13</t>
        </is>
      </c>
      <c r="D11" t="inlineStr">
        <is>
          <t>13:00</t>
        </is>
      </c>
      <c r="E11" s="5" t="n">
        <v>46278.54166666666</v>
      </c>
      <c r="F11" t="inlineStr">
        <is>
          <t>2026_01_TB_CIN</t>
        </is>
      </c>
      <c r="G11" t="inlineStr">
        <is>
          <t>TB</t>
        </is>
      </c>
      <c r="H11" t="inlineStr">
        <is>
          <t>CIN</t>
        </is>
      </c>
      <c r="I11" s="6" t="n">
        <v>3.5</v>
      </c>
      <c r="J11" s="6" t="n">
        <v>-3.5</v>
      </c>
      <c r="K11" s="4" t="n">
        <v>164</v>
      </c>
      <c r="L11" s="4" t="n">
        <v>-198</v>
      </c>
      <c r="M11" s="6" t="n">
        <v>50.5</v>
      </c>
      <c r="N11" s="7" t="n">
        <v>0.4228</v>
      </c>
      <c r="O11" s="7" t="n">
        <v>0.5772</v>
      </c>
      <c r="P11" s="6" t="n">
        <v>21</v>
      </c>
      <c r="Q11" s="6" t="n">
        <v>23.1</v>
      </c>
      <c r="R11" s="6" t="n">
        <v>2</v>
      </c>
      <c r="S11" s="6" t="n">
        <v>44.1</v>
      </c>
      <c r="T11" s="6" t="n">
        <v>-13.3</v>
      </c>
      <c r="U11" s="6" t="n">
        <v>3.2</v>
      </c>
      <c r="V11" s="6" t="n">
        <v>18.8</v>
      </c>
      <c r="W11" s="6" t="n">
        <v>32.5</v>
      </c>
      <c r="X11" s="6" t="n">
        <v>46.2</v>
      </c>
      <c r="Y11" s="6" t="n">
        <v>64.40000000000001</v>
      </c>
      <c r="Z11" s="8" t="n">
        <v>3.5</v>
      </c>
      <c r="AA11" s="9" t="n">
        <v>-110</v>
      </c>
      <c r="AB11" s="8">
        <f>-Z11</f>
        <v/>
      </c>
      <c r="AC11" s="9" t="n">
        <v>-110</v>
      </c>
      <c r="AD11" s="9" t="n">
        <v>164</v>
      </c>
      <c r="AE11" s="9" t="n">
        <v>-198</v>
      </c>
      <c r="AF11" s="8" t="n">
        <v>50.5</v>
      </c>
      <c r="AG11" s="9" t="n">
        <v>-110</v>
      </c>
      <c r="AH11" s="9" t="n">
        <v>-110</v>
      </c>
      <c r="AI11" s="6">
        <f>IF(OR(ISBLANK(AB11),ISBLANK(R11)),NA(),R11+AB11)</f>
        <v/>
      </c>
      <c r="AJ11" s="7">
        <f>IF(OR(ISBLANK(AD11),AD11=0),NA(),IF(AD11&gt;0,100/(AD11+100),-(AD11)/(-(AD11)+100)))</f>
        <v/>
      </c>
      <c r="AK11" s="7">
        <f>IF(OR(ISBLANK(AE11),AE11=0),NA(),IF(AE11&gt;0,100/(AE11+100),-(AE11)/(-(AE11)+100)))</f>
        <v/>
      </c>
      <c r="AL11" s="7">
        <f>IF(OR(ISNA(AK11),ISNA(AJ11)),NA(),AJ11/(AK11+AJ11))</f>
        <v/>
      </c>
      <c r="AM11" s="7">
        <f>IF(OR(ISNA(AK11),ISNA(AJ11)),NA(),AK11/(AK11+AJ11))</f>
        <v/>
      </c>
      <c r="AN11" s="7">
        <f>N11-AL11</f>
        <v/>
      </c>
      <c r="AO11" s="7">
        <f>O11-AM11</f>
        <v/>
      </c>
      <c r="AP11">
        <f>IF(BK11&gt;=BL11,H11,G11)</f>
        <v/>
      </c>
      <c r="AQ11" s="7">
        <f>MAX(0,BK11,BL11)</f>
        <v/>
      </c>
      <c r="AR11">
        <f>IF(AQ11&lt;=0,"PASS",IF(AQ11&lt;0.02,"PASS",IF(AQ11&lt;0.04,"LEAN",IF(AQ11&lt;0.07,"SMALL",IF(AQ11&lt;0.10,"MEDIUM","STRONG")))))</f>
        <v/>
      </c>
      <c r="AS11" s="4">
        <f>IF(AQ11&lt;0.01,1,IF(AQ11&lt;0.02,2,IF(AQ11&lt;0.03,3,IF(AQ11&lt;0.04,4,IF(AQ11&lt;0.05,5,IF(AQ11&lt;0.06,6,IF(AQ11&lt;0.07,7,IF(AQ11&lt;0.08,8,IF(AQ11&lt;0.10,9,10)))))))))</f>
        <v/>
      </c>
      <c r="AT11" s="7">
        <f>IF(AP11=H11,(BG11)*(IF(AC11&gt;0,AC11/100,100/ABS(AC11)))-(1-(BG11)),(BH11)*(IF(AA11&gt;0,AA11/100,100/ABS(AA11)))-(1-(BH11)))</f>
        <v/>
      </c>
      <c r="AU11">
        <f>IF((O11-AK11)&gt;=(N11-AJ11),H11,G11)</f>
        <v/>
      </c>
      <c r="AV11" s="7">
        <f>MAX(0,(O11-AK11),(N11-AJ11))</f>
        <v/>
      </c>
      <c r="AW11">
        <f>IF(AV11&lt;=0,"PASS",IF(AV11&lt;0.02,"PASS",IF(AV11&lt;0.04,"LEAN",IF(AV11&lt;0.07,"SMALL",IF(AV11&lt;0.10,"MEDIUM","STRONG")))))</f>
        <v/>
      </c>
      <c r="AX11" s="4">
        <f>IF(AV11&lt;0.01,1,IF(AV11&lt;0.02,2,IF(AV11&lt;0.03,3,IF(AV11&lt;0.04,4,IF(AV11&lt;0.05,5,IF(AV11&lt;0.06,6,IF(AV11&lt;0.07,7,IF(AV11&lt;0.08,8,IF(AV11&lt;0.10,9,10)))))))))</f>
        <v/>
      </c>
      <c r="AY11" s="7">
        <f>IF(AU11=H11,(O11)*(IF(AE11&gt;0,AE11/100,100/ABS(AE11)))-(1-(O11)),(N11)*(IF(AD11&gt;0,AD11/100,100/ABS(AD11)))-(1-(N11)))</f>
        <v/>
      </c>
      <c r="AZ11">
        <f>IF(BS11&gt;=BT11,"OVER","UNDER")</f>
        <v/>
      </c>
      <c r="BA11" s="7">
        <f>MAX(0,BS11,BT11)</f>
        <v/>
      </c>
      <c r="BB11">
        <f>IF(BA11&lt;=0,"PASS",IF(BA11&lt;0.02,"PASS",IF(BA11&lt;0.04,"LEAN",IF(BA11&lt;0.07,"SMALL",IF(BA11&lt;0.10,"MEDIUM","STRONG")))))</f>
        <v/>
      </c>
      <c r="BC11" s="4">
        <f>IF(BA11&lt;0.01,1,IF(BA11&lt;0.02,2,IF(BA11&lt;0.03,3,IF(BA11&lt;0.04,4,IF(BA11&lt;0.05,5,IF(BA11&lt;0.06,6,IF(BA11&lt;0.07,7,IF(BA11&lt;0.08,8,IF(BA11&lt;0.10,9,10)))))))))</f>
        <v/>
      </c>
      <c r="BD11" s="7">
        <f>IF(AZ11="OVER",(BO11)*(IF(AG11&gt;0,AG11/100,100/ABS(AG11)))-(1-(BO11)),(BP11)*(IF(AH11&gt;0,AH11/100,100/ABS(AH11)))-(1-(BP11)))</f>
        <v/>
      </c>
      <c r="BE11" s="6">
        <f>R11</f>
        <v/>
      </c>
      <c r="BF11" s="10">
        <f>IF(OR(ISBLANK(T11),ISBLANK(V11)),13,(V11-T11)/(2.56310313109))</f>
        <v/>
      </c>
      <c r="BG11" s="7">
        <f>IF(OR(ISNA(BF11),BF11&lt;=0,ISBLANK(AB11)),NA(),1-NORMSDIST(((-AB11)-(BE11))/(BF11)))</f>
        <v/>
      </c>
      <c r="BH11" s="7">
        <f>IF(OR(ISNA(BF11),BF11&lt;=0,ISBLANK(Z11)),NA(),NORMSDIST(((Z11)-(BE11))/(BF11)))</f>
        <v/>
      </c>
      <c r="BI11" s="7">
        <f>IF(OR(ISBLANK(AC11),AC11=0),NA(),IF(AC11&gt;0,100/(AC11+100),-(AC11)/(-(AC11)+100)))</f>
        <v/>
      </c>
      <c r="BJ11" s="7">
        <f>IF(OR(ISBLANK(AA11),AA11=0),NA(),IF(AA11&gt;0,100/(AA11+100),-(AA11)/(-(AA11)+100)))</f>
        <v/>
      </c>
      <c r="BK11" s="7">
        <f>BG11-BI11</f>
        <v/>
      </c>
      <c r="BL11" s="7">
        <f>BH11-BJ11</f>
        <v/>
      </c>
      <c r="BM11" s="6">
        <f>S11</f>
        <v/>
      </c>
      <c r="BN11" s="10">
        <f>IF(OR(ISBLANK(W11),ISBLANK(Y11)),16,(Y11-W11)/(2.56310313109))</f>
        <v/>
      </c>
      <c r="BO11" s="7">
        <f>IF(OR(ISNA(BN11),BN11&lt;=0,ISBLANK(AF11)),NA(),1-NORMSDIST(((AF11)-(BM11))/(BN11)))</f>
        <v/>
      </c>
      <c r="BP11" s="7">
        <f>IF(ISNA(BO11),NA(),1-(BO11))</f>
        <v/>
      </c>
      <c r="BQ11" s="7">
        <f>IF(OR(ISBLANK(AG11),AG11=0),NA(),IF(AG11&gt;0,100/(AG11+100),-(AG11)/(-(AG11)+100)))</f>
        <v/>
      </c>
      <c r="BR11" s="7">
        <f>IF(OR(ISBLANK(AH11),AH11=0),NA(),IF(AH11&gt;0,100/(AH11+100),-(AH11)/(-(AH11)+100)))</f>
        <v/>
      </c>
      <c r="BS11" s="7">
        <f>BO11-BQ11</f>
        <v/>
      </c>
      <c r="BT11" s="7">
        <f>BP11-BR11</f>
        <v/>
      </c>
    </row>
    <row r="12">
      <c r="A12" s="4" t="n">
        <v>2026</v>
      </c>
      <c r="B12" s="4" t="n">
        <v>1</v>
      </c>
      <c r="C12" t="inlineStr">
        <is>
          <t>2026-09-13</t>
        </is>
      </c>
      <c r="D12" t="inlineStr">
        <is>
          <t>16:25</t>
        </is>
      </c>
      <c r="E12" s="5" t="n">
        <v>46278.68402777778</v>
      </c>
      <c r="F12" t="inlineStr">
        <is>
          <t>2026_01_ARI_LAC</t>
        </is>
      </c>
      <c r="G12" t="inlineStr">
        <is>
          <t>ARI</t>
        </is>
      </c>
      <c r="H12" t="inlineStr">
        <is>
          <t>LAC</t>
        </is>
      </c>
      <c r="I12" s="6" t="n">
        <v>9.5</v>
      </c>
      <c r="J12" s="6" t="n">
        <v>-9.5</v>
      </c>
      <c r="K12" s="4" t="n">
        <v>380</v>
      </c>
      <c r="L12" s="4" t="n">
        <v>-500</v>
      </c>
      <c r="M12" s="6" t="n">
        <v>47.5</v>
      </c>
      <c r="N12" s="7" t="n">
        <v>0.2013</v>
      </c>
      <c r="O12" s="7" t="n">
        <v>0.7987</v>
      </c>
      <c r="P12" s="6" t="n">
        <v>18.3</v>
      </c>
      <c r="Q12" s="6" t="n">
        <v>25.8</v>
      </c>
      <c r="R12" s="6" t="n">
        <v>7.5</v>
      </c>
      <c r="S12" s="6" t="n">
        <v>44.1</v>
      </c>
      <c r="T12" s="6" t="n">
        <v>-6</v>
      </c>
      <c r="U12" s="6" t="n">
        <v>6.3</v>
      </c>
      <c r="V12" s="6" t="n">
        <v>22.5</v>
      </c>
      <c r="W12" s="6" t="n">
        <v>30.8</v>
      </c>
      <c r="X12" s="6" t="n">
        <v>44.3</v>
      </c>
      <c r="Y12" s="6" t="n">
        <v>64.8</v>
      </c>
      <c r="Z12" s="8" t="n">
        <v>9.5</v>
      </c>
      <c r="AA12" s="9" t="n">
        <v>-110</v>
      </c>
      <c r="AB12" s="8">
        <f>-Z12</f>
        <v/>
      </c>
      <c r="AC12" s="9" t="n">
        <v>-110</v>
      </c>
      <c r="AD12" s="9" t="n">
        <v>380</v>
      </c>
      <c r="AE12" s="9" t="n">
        <v>-500</v>
      </c>
      <c r="AF12" s="8" t="n">
        <v>47.5</v>
      </c>
      <c r="AG12" s="9" t="n">
        <v>-110</v>
      </c>
      <c r="AH12" s="9" t="n">
        <v>-110</v>
      </c>
      <c r="AI12" s="6">
        <f>IF(OR(ISBLANK(AB12),ISBLANK(R12)),NA(),R12+AB12)</f>
        <v/>
      </c>
      <c r="AJ12" s="7">
        <f>IF(OR(ISBLANK(AD12),AD12=0),NA(),IF(AD12&gt;0,100/(AD12+100),-(AD12)/(-(AD12)+100)))</f>
        <v/>
      </c>
      <c r="AK12" s="7">
        <f>IF(OR(ISBLANK(AE12),AE12=0),NA(),IF(AE12&gt;0,100/(AE12+100),-(AE12)/(-(AE12)+100)))</f>
        <v/>
      </c>
      <c r="AL12" s="7">
        <f>IF(OR(ISNA(AK12),ISNA(AJ12)),NA(),AJ12/(AK12+AJ12))</f>
        <v/>
      </c>
      <c r="AM12" s="7">
        <f>IF(OR(ISNA(AK12),ISNA(AJ12)),NA(),AK12/(AK12+AJ12))</f>
        <v/>
      </c>
      <c r="AN12" s="7">
        <f>N12-AL12</f>
        <v/>
      </c>
      <c r="AO12" s="7">
        <f>O12-AM12</f>
        <v/>
      </c>
      <c r="AP12">
        <f>IF(BK12&gt;=BL12,H12,G12)</f>
        <v/>
      </c>
      <c r="AQ12" s="7">
        <f>MAX(0,BK12,BL12)</f>
        <v/>
      </c>
      <c r="AR12">
        <f>IF(AQ12&lt;=0,"PASS",IF(AQ12&lt;0.02,"PASS",IF(AQ12&lt;0.04,"LEAN",IF(AQ12&lt;0.07,"SMALL",IF(AQ12&lt;0.10,"MEDIUM","STRONG")))))</f>
        <v/>
      </c>
      <c r="AS12" s="4">
        <f>IF(AQ12&lt;0.01,1,IF(AQ12&lt;0.02,2,IF(AQ12&lt;0.03,3,IF(AQ12&lt;0.04,4,IF(AQ12&lt;0.05,5,IF(AQ12&lt;0.06,6,IF(AQ12&lt;0.07,7,IF(AQ12&lt;0.08,8,IF(AQ12&lt;0.10,9,10)))))))))</f>
        <v/>
      </c>
      <c r="AT12" s="7">
        <f>IF(AP12=H12,(BG12)*(IF(AC12&gt;0,AC12/100,100/ABS(AC12)))-(1-(BG12)),(BH12)*(IF(AA12&gt;0,AA12/100,100/ABS(AA12)))-(1-(BH12)))</f>
        <v/>
      </c>
      <c r="AU12">
        <f>IF((O12-AK12)&gt;=(N12-AJ12),H12,G12)</f>
        <v/>
      </c>
      <c r="AV12" s="7">
        <f>MAX(0,(O12-AK12),(N12-AJ12))</f>
        <v/>
      </c>
      <c r="AW12">
        <f>IF(AV12&lt;=0,"PASS",IF(AV12&lt;0.02,"PASS",IF(AV12&lt;0.04,"LEAN",IF(AV12&lt;0.07,"SMALL",IF(AV12&lt;0.10,"MEDIUM","STRONG")))))</f>
        <v/>
      </c>
      <c r="AX12" s="4">
        <f>IF(AV12&lt;0.01,1,IF(AV12&lt;0.02,2,IF(AV12&lt;0.03,3,IF(AV12&lt;0.04,4,IF(AV12&lt;0.05,5,IF(AV12&lt;0.06,6,IF(AV12&lt;0.07,7,IF(AV12&lt;0.08,8,IF(AV12&lt;0.10,9,10)))))))))</f>
        <v/>
      </c>
      <c r="AY12" s="7">
        <f>IF(AU12=H12,(O12)*(IF(AE12&gt;0,AE12/100,100/ABS(AE12)))-(1-(O12)),(N12)*(IF(AD12&gt;0,AD12/100,100/ABS(AD12)))-(1-(N12)))</f>
        <v/>
      </c>
      <c r="AZ12">
        <f>IF(BS12&gt;=BT12,"OVER","UNDER")</f>
        <v/>
      </c>
      <c r="BA12" s="7">
        <f>MAX(0,BS12,BT12)</f>
        <v/>
      </c>
      <c r="BB12">
        <f>IF(BA12&lt;=0,"PASS",IF(BA12&lt;0.02,"PASS",IF(BA12&lt;0.04,"LEAN",IF(BA12&lt;0.07,"SMALL",IF(BA12&lt;0.10,"MEDIUM","STRONG")))))</f>
        <v/>
      </c>
      <c r="BC12" s="4">
        <f>IF(BA12&lt;0.01,1,IF(BA12&lt;0.02,2,IF(BA12&lt;0.03,3,IF(BA12&lt;0.04,4,IF(BA12&lt;0.05,5,IF(BA12&lt;0.06,6,IF(BA12&lt;0.07,7,IF(BA12&lt;0.08,8,IF(BA12&lt;0.10,9,10)))))))))</f>
        <v/>
      </c>
      <c r="BD12" s="7">
        <f>IF(AZ12="OVER",(BO12)*(IF(AG12&gt;0,AG12/100,100/ABS(AG12)))-(1-(BO12)),(BP12)*(IF(AH12&gt;0,AH12/100,100/ABS(AH12)))-(1-(BP12)))</f>
        <v/>
      </c>
      <c r="BE12" s="6">
        <f>R12</f>
        <v/>
      </c>
      <c r="BF12" s="10">
        <f>IF(OR(ISBLANK(T12),ISBLANK(V12)),13,(V12-T12)/(2.56310313109))</f>
        <v/>
      </c>
      <c r="BG12" s="7">
        <f>IF(OR(ISNA(BF12),BF12&lt;=0,ISBLANK(AB12)),NA(),1-NORMSDIST(((-AB12)-(BE12))/(BF12)))</f>
        <v/>
      </c>
      <c r="BH12" s="7">
        <f>IF(OR(ISNA(BF12),BF12&lt;=0,ISBLANK(Z12)),NA(),NORMSDIST(((Z12)-(BE12))/(BF12)))</f>
        <v/>
      </c>
      <c r="BI12" s="7">
        <f>IF(OR(ISBLANK(AC12),AC12=0),NA(),IF(AC12&gt;0,100/(AC12+100),-(AC12)/(-(AC12)+100)))</f>
        <v/>
      </c>
      <c r="BJ12" s="7">
        <f>IF(OR(ISBLANK(AA12),AA12=0),NA(),IF(AA12&gt;0,100/(AA12+100),-(AA12)/(-(AA12)+100)))</f>
        <v/>
      </c>
      <c r="BK12" s="7">
        <f>BG12-BI12</f>
        <v/>
      </c>
      <c r="BL12" s="7">
        <f>BH12-BJ12</f>
        <v/>
      </c>
      <c r="BM12" s="6">
        <f>S12</f>
        <v/>
      </c>
      <c r="BN12" s="10">
        <f>IF(OR(ISBLANK(W12),ISBLANK(Y12)),16,(Y12-W12)/(2.56310313109))</f>
        <v/>
      </c>
      <c r="BO12" s="7">
        <f>IF(OR(ISNA(BN12),BN12&lt;=0,ISBLANK(AF12)),NA(),1-NORMSDIST(((AF12)-(BM12))/(BN12)))</f>
        <v/>
      </c>
      <c r="BP12" s="7">
        <f>IF(ISNA(BO12),NA(),1-(BO12))</f>
        <v/>
      </c>
      <c r="BQ12" s="7">
        <f>IF(OR(ISBLANK(AG12),AG12=0),NA(),IF(AG12&gt;0,100/(AG12+100),-(AG12)/(-(AG12)+100)))</f>
        <v/>
      </c>
      <c r="BR12" s="7">
        <f>IF(OR(ISBLANK(AH12),AH12=0),NA(),IF(AH12&gt;0,100/(AH12+100),-(AH12)/(-(AH12)+100)))</f>
        <v/>
      </c>
      <c r="BS12" s="7">
        <f>BO12-BQ12</f>
        <v/>
      </c>
      <c r="BT12" s="7">
        <f>BP12-BR12</f>
        <v/>
      </c>
    </row>
    <row r="13">
      <c r="A13" s="4" t="n">
        <v>2026</v>
      </c>
      <c r="B13" s="4" t="n">
        <v>1</v>
      </c>
      <c r="C13" t="inlineStr">
        <is>
          <t>2026-09-13</t>
        </is>
      </c>
      <c r="D13" t="inlineStr">
        <is>
          <t>16:25</t>
        </is>
      </c>
      <c r="E13" s="5" t="n">
        <v>46278.68402777778</v>
      </c>
      <c r="F13" t="inlineStr">
        <is>
          <t>2026_01_GB_MIN</t>
        </is>
      </c>
      <c r="G13" t="inlineStr">
        <is>
          <t>GB</t>
        </is>
      </c>
      <c r="H13" t="inlineStr">
        <is>
          <t>MIN</t>
        </is>
      </c>
      <c r="I13" s="6" t="n">
        <v>1.5</v>
      </c>
      <c r="J13" s="6" t="n">
        <v>-1.5</v>
      </c>
      <c r="K13" s="4" t="n">
        <v>100</v>
      </c>
      <c r="L13" s="4" t="n">
        <v>-120</v>
      </c>
      <c r="M13" s="6" t="n">
        <v>46.5</v>
      </c>
      <c r="N13" s="7" t="n">
        <v>0.63</v>
      </c>
      <c r="O13" s="7" t="n">
        <v>0.37</v>
      </c>
      <c r="P13" s="6" t="n">
        <v>23.2</v>
      </c>
      <c r="Q13" s="6" t="n">
        <v>20.9</v>
      </c>
      <c r="R13" s="6" t="n">
        <v>-2.3</v>
      </c>
      <c r="S13" s="6" t="n">
        <v>44.1</v>
      </c>
      <c r="T13" s="6" t="n">
        <v>-16.6</v>
      </c>
      <c r="U13" s="6" t="n">
        <v>-0.3</v>
      </c>
      <c r="V13" s="6" t="n">
        <v>16.4</v>
      </c>
      <c r="W13" s="6" t="n">
        <v>29.7</v>
      </c>
      <c r="X13" s="6" t="n">
        <v>43.7</v>
      </c>
      <c r="Y13" s="6" t="n">
        <v>61.8</v>
      </c>
      <c r="Z13" s="8" t="n">
        <v>1.5</v>
      </c>
      <c r="AA13" s="9" t="n">
        <v>-110</v>
      </c>
      <c r="AB13" s="8">
        <f>-Z13</f>
        <v/>
      </c>
      <c r="AC13" s="9" t="n">
        <v>-110</v>
      </c>
      <c r="AD13" s="9" t="n">
        <v>100</v>
      </c>
      <c r="AE13" s="9" t="n">
        <v>-120</v>
      </c>
      <c r="AF13" s="8" t="n">
        <v>46.5</v>
      </c>
      <c r="AG13" s="9" t="n">
        <v>-110</v>
      </c>
      <c r="AH13" s="9" t="n">
        <v>-110</v>
      </c>
      <c r="AI13" s="6">
        <f>IF(OR(ISBLANK(AB13),ISBLANK(R13)),NA(),R13+AB13)</f>
        <v/>
      </c>
      <c r="AJ13" s="7">
        <f>IF(OR(ISBLANK(AD13),AD13=0),NA(),IF(AD13&gt;0,100/(AD13+100),-(AD13)/(-(AD13)+100)))</f>
        <v/>
      </c>
      <c r="AK13" s="7">
        <f>IF(OR(ISBLANK(AE13),AE13=0),NA(),IF(AE13&gt;0,100/(AE13+100),-(AE13)/(-(AE13)+100)))</f>
        <v/>
      </c>
      <c r="AL13" s="7">
        <f>IF(OR(ISNA(AK13),ISNA(AJ13)),NA(),AJ13/(AK13+AJ13))</f>
        <v/>
      </c>
      <c r="AM13" s="7">
        <f>IF(OR(ISNA(AK13),ISNA(AJ13)),NA(),AK13/(AK13+AJ13))</f>
        <v/>
      </c>
      <c r="AN13" s="7">
        <f>N13-AL13</f>
        <v/>
      </c>
      <c r="AO13" s="7">
        <f>O13-AM13</f>
        <v/>
      </c>
      <c r="AP13">
        <f>IF(BK13&gt;=BL13,H13,G13)</f>
        <v/>
      </c>
      <c r="AQ13" s="7">
        <f>MAX(0,BK13,BL13)</f>
        <v/>
      </c>
      <c r="AR13">
        <f>IF(AQ13&lt;=0,"PASS",IF(AQ13&lt;0.02,"PASS",IF(AQ13&lt;0.04,"LEAN",IF(AQ13&lt;0.07,"SMALL",IF(AQ13&lt;0.10,"MEDIUM","STRONG")))))</f>
        <v/>
      </c>
      <c r="AS13" s="4">
        <f>IF(AQ13&lt;0.01,1,IF(AQ13&lt;0.02,2,IF(AQ13&lt;0.03,3,IF(AQ13&lt;0.04,4,IF(AQ13&lt;0.05,5,IF(AQ13&lt;0.06,6,IF(AQ13&lt;0.07,7,IF(AQ13&lt;0.08,8,IF(AQ13&lt;0.10,9,10)))))))))</f>
        <v/>
      </c>
      <c r="AT13" s="7">
        <f>IF(AP13=H13,(BG13)*(IF(AC13&gt;0,AC13/100,100/ABS(AC13)))-(1-(BG13)),(BH13)*(IF(AA13&gt;0,AA13/100,100/ABS(AA13)))-(1-(BH13)))</f>
        <v/>
      </c>
      <c r="AU13">
        <f>IF((O13-AK13)&gt;=(N13-AJ13),H13,G13)</f>
        <v/>
      </c>
      <c r="AV13" s="7">
        <f>MAX(0,(O13-AK13),(N13-AJ13))</f>
        <v/>
      </c>
      <c r="AW13">
        <f>IF(AV13&lt;=0,"PASS",IF(AV13&lt;0.02,"PASS",IF(AV13&lt;0.04,"LEAN",IF(AV13&lt;0.07,"SMALL",IF(AV13&lt;0.10,"MEDIUM","STRONG")))))</f>
        <v/>
      </c>
      <c r="AX13" s="4">
        <f>IF(AV13&lt;0.01,1,IF(AV13&lt;0.02,2,IF(AV13&lt;0.03,3,IF(AV13&lt;0.04,4,IF(AV13&lt;0.05,5,IF(AV13&lt;0.06,6,IF(AV13&lt;0.07,7,IF(AV13&lt;0.08,8,IF(AV13&lt;0.10,9,10)))))))))</f>
        <v/>
      </c>
      <c r="AY13" s="7">
        <f>IF(AU13=H13,(O13)*(IF(AE13&gt;0,AE13/100,100/ABS(AE13)))-(1-(O13)),(N13)*(IF(AD13&gt;0,AD13/100,100/ABS(AD13)))-(1-(N13)))</f>
        <v/>
      </c>
      <c r="AZ13">
        <f>IF(BS13&gt;=BT13,"OVER","UNDER")</f>
        <v/>
      </c>
      <c r="BA13" s="7">
        <f>MAX(0,BS13,BT13)</f>
        <v/>
      </c>
      <c r="BB13">
        <f>IF(BA13&lt;=0,"PASS",IF(BA13&lt;0.02,"PASS",IF(BA13&lt;0.04,"LEAN",IF(BA13&lt;0.07,"SMALL",IF(BA13&lt;0.10,"MEDIUM","STRONG")))))</f>
        <v/>
      </c>
      <c r="BC13" s="4">
        <f>IF(BA13&lt;0.01,1,IF(BA13&lt;0.02,2,IF(BA13&lt;0.03,3,IF(BA13&lt;0.04,4,IF(BA13&lt;0.05,5,IF(BA13&lt;0.06,6,IF(BA13&lt;0.07,7,IF(BA13&lt;0.08,8,IF(BA13&lt;0.10,9,10)))))))))</f>
        <v/>
      </c>
      <c r="BD13" s="7">
        <f>IF(AZ13="OVER",(BO13)*(IF(AG13&gt;0,AG13/100,100/ABS(AG13)))-(1-(BO13)),(BP13)*(IF(AH13&gt;0,AH13/100,100/ABS(AH13)))-(1-(BP13)))</f>
        <v/>
      </c>
      <c r="BE13" s="6">
        <f>R13</f>
        <v/>
      </c>
      <c r="BF13" s="10">
        <f>IF(OR(ISBLANK(T13),ISBLANK(V13)),13,(V13-T13)/(2.56310313109))</f>
        <v/>
      </c>
      <c r="BG13" s="7">
        <f>IF(OR(ISNA(BF13),BF13&lt;=0,ISBLANK(AB13)),NA(),1-NORMSDIST(((-AB13)-(BE13))/(BF13)))</f>
        <v/>
      </c>
      <c r="BH13" s="7">
        <f>IF(OR(ISNA(BF13),BF13&lt;=0,ISBLANK(Z13)),NA(),NORMSDIST(((Z13)-(BE13))/(BF13)))</f>
        <v/>
      </c>
      <c r="BI13" s="7">
        <f>IF(OR(ISBLANK(AC13),AC13=0),NA(),IF(AC13&gt;0,100/(AC13+100),-(AC13)/(-(AC13)+100)))</f>
        <v/>
      </c>
      <c r="BJ13" s="7">
        <f>IF(OR(ISBLANK(AA13),AA13=0),NA(),IF(AA13&gt;0,100/(AA13+100),-(AA13)/(-(AA13)+100)))</f>
        <v/>
      </c>
      <c r="BK13" s="7">
        <f>BG13-BI13</f>
        <v/>
      </c>
      <c r="BL13" s="7">
        <f>BH13-BJ13</f>
        <v/>
      </c>
      <c r="BM13" s="6">
        <f>S13</f>
        <v/>
      </c>
      <c r="BN13" s="10">
        <f>IF(OR(ISBLANK(W13),ISBLANK(Y13)),16,(Y13-W13)/(2.56310313109))</f>
        <v/>
      </c>
      <c r="BO13" s="7">
        <f>IF(OR(ISNA(BN13),BN13&lt;=0,ISBLANK(AF13)),NA(),1-NORMSDIST(((AF13)-(BM13))/(BN13)))</f>
        <v/>
      </c>
      <c r="BP13" s="7">
        <f>IF(ISNA(BO13),NA(),1-(BO13))</f>
        <v/>
      </c>
      <c r="BQ13" s="7">
        <f>IF(OR(ISBLANK(AG13),AG13=0),NA(),IF(AG13&gt;0,100/(AG13+100),-(AG13)/(-(AG13)+100)))</f>
        <v/>
      </c>
      <c r="BR13" s="7">
        <f>IF(OR(ISBLANK(AH13),AH13=0),NA(),IF(AH13&gt;0,100/(AH13+100),-(AH13)/(-(AH13)+100)))</f>
        <v/>
      </c>
      <c r="BS13" s="7">
        <f>BO13-BQ13</f>
        <v/>
      </c>
      <c r="BT13" s="7">
        <f>BP13-BR13</f>
        <v/>
      </c>
    </row>
    <row r="14">
      <c r="A14" s="4" t="n">
        <v>2026</v>
      </c>
      <c r="B14" s="4" t="n">
        <v>1</v>
      </c>
      <c r="C14" t="inlineStr">
        <is>
          <t>2026-09-13</t>
        </is>
      </c>
      <c r="D14" t="inlineStr">
        <is>
          <t>16:25</t>
        </is>
      </c>
      <c r="E14" s="5" t="n">
        <v>46278.68402777778</v>
      </c>
      <c r="F14" t="inlineStr">
        <is>
          <t>2026_01_MIA_LV</t>
        </is>
      </c>
      <c r="G14" t="inlineStr">
        <is>
          <t>MIA</t>
        </is>
      </c>
      <c r="H14" t="inlineStr">
        <is>
          <t>LV</t>
        </is>
      </c>
      <c r="I14" s="6" t="n">
        <v>3</v>
      </c>
      <c r="J14" s="6" t="n">
        <v>-3</v>
      </c>
      <c r="K14" s="4" t="n">
        <v>140</v>
      </c>
      <c r="L14" s="4" t="n">
        <v>-166</v>
      </c>
      <c r="M14" s="6" t="n">
        <v>40.5</v>
      </c>
      <c r="N14" s="7" t="n">
        <v>0.5222</v>
      </c>
      <c r="O14" s="7" t="n">
        <v>0.4778</v>
      </c>
      <c r="P14" s="6" t="n">
        <v>22</v>
      </c>
      <c r="Q14" s="6" t="n">
        <v>22</v>
      </c>
      <c r="R14" s="6" t="n">
        <v>-0</v>
      </c>
      <c r="S14" s="6" t="n">
        <v>43.9</v>
      </c>
      <c r="T14" s="6" t="n">
        <v>-14.8</v>
      </c>
      <c r="U14" s="6" t="n">
        <v>-0.2</v>
      </c>
      <c r="V14" s="6" t="n">
        <v>14.7</v>
      </c>
      <c r="W14" s="6" t="n">
        <v>26</v>
      </c>
      <c r="X14" s="6" t="n">
        <v>40.9</v>
      </c>
      <c r="Y14" s="6" t="n">
        <v>56.3</v>
      </c>
      <c r="Z14" s="8" t="n">
        <v>3</v>
      </c>
      <c r="AA14" s="9" t="n">
        <v>-110</v>
      </c>
      <c r="AB14" s="8">
        <f>-Z14</f>
        <v/>
      </c>
      <c r="AC14" s="9" t="n">
        <v>-110</v>
      </c>
      <c r="AD14" s="9" t="n">
        <v>140</v>
      </c>
      <c r="AE14" s="9" t="n">
        <v>-166</v>
      </c>
      <c r="AF14" s="8" t="n">
        <v>40.5</v>
      </c>
      <c r="AG14" s="9" t="n">
        <v>-110</v>
      </c>
      <c r="AH14" s="9" t="n">
        <v>-110</v>
      </c>
      <c r="AI14" s="6">
        <f>IF(OR(ISBLANK(AB14),ISBLANK(R14)),NA(),R14+AB14)</f>
        <v/>
      </c>
      <c r="AJ14" s="7">
        <f>IF(OR(ISBLANK(AD14),AD14=0),NA(),IF(AD14&gt;0,100/(AD14+100),-(AD14)/(-(AD14)+100)))</f>
        <v/>
      </c>
      <c r="AK14" s="7">
        <f>IF(OR(ISBLANK(AE14),AE14=0),NA(),IF(AE14&gt;0,100/(AE14+100),-(AE14)/(-(AE14)+100)))</f>
        <v/>
      </c>
      <c r="AL14" s="7">
        <f>IF(OR(ISNA(AK14),ISNA(AJ14)),NA(),AJ14/(AK14+AJ14))</f>
        <v/>
      </c>
      <c r="AM14" s="7">
        <f>IF(OR(ISNA(AK14),ISNA(AJ14)),NA(),AK14/(AK14+AJ14))</f>
        <v/>
      </c>
      <c r="AN14" s="7">
        <f>N14-AL14</f>
        <v/>
      </c>
      <c r="AO14" s="7">
        <f>O14-AM14</f>
        <v/>
      </c>
      <c r="AP14">
        <f>IF(BK14&gt;=BL14,H14,G14)</f>
        <v/>
      </c>
      <c r="AQ14" s="7">
        <f>MAX(0,BK14,BL14)</f>
        <v/>
      </c>
      <c r="AR14">
        <f>IF(AQ14&lt;=0,"PASS",IF(AQ14&lt;0.02,"PASS",IF(AQ14&lt;0.04,"LEAN",IF(AQ14&lt;0.07,"SMALL",IF(AQ14&lt;0.10,"MEDIUM","STRONG")))))</f>
        <v/>
      </c>
      <c r="AS14" s="4">
        <f>IF(AQ14&lt;0.01,1,IF(AQ14&lt;0.02,2,IF(AQ14&lt;0.03,3,IF(AQ14&lt;0.04,4,IF(AQ14&lt;0.05,5,IF(AQ14&lt;0.06,6,IF(AQ14&lt;0.07,7,IF(AQ14&lt;0.08,8,IF(AQ14&lt;0.10,9,10)))))))))</f>
        <v/>
      </c>
      <c r="AT14" s="7">
        <f>IF(AP14=H14,(BG14)*(IF(AC14&gt;0,AC14/100,100/ABS(AC14)))-(1-(BG14)),(BH14)*(IF(AA14&gt;0,AA14/100,100/ABS(AA14)))-(1-(BH14)))</f>
        <v/>
      </c>
      <c r="AU14">
        <f>IF((O14-AK14)&gt;=(N14-AJ14),H14,G14)</f>
        <v/>
      </c>
      <c r="AV14" s="7">
        <f>MAX(0,(O14-AK14),(N14-AJ14))</f>
        <v/>
      </c>
      <c r="AW14">
        <f>IF(AV14&lt;=0,"PASS",IF(AV14&lt;0.02,"PASS",IF(AV14&lt;0.04,"LEAN",IF(AV14&lt;0.07,"SMALL",IF(AV14&lt;0.10,"MEDIUM","STRONG")))))</f>
        <v/>
      </c>
      <c r="AX14" s="4">
        <f>IF(AV14&lt;0.01,1,IF(AV14&lt;0.02,2,IF(AV14&lt;0.03,3,IF(AV14&lt;0.04,4,IF(AV14&lt;0.05,5,IF(AV14&lt;0.06,6,IF(AV14&lt;0.07,7,IF(AV14&lt;0.08,8,IF(AV14&lt;0.10,9,10)))))))))</f>
        <v/>
      </c>
      <c r="AY14" s="7">
        <f>IF(AU14=H14,(O14)*(IF(AE14&gt;0,AE14/100,100/ABS(AE14)))-(1-(O14)),(N14)*(IF(AD14&gt;0,AD14/100,100/ABS(AD14)))-(1-(N14)))</f>
        <v/>
      </c>
      <c r="AZ14">
        <f>IF(BS14&gt;=BT14,"OVER","UNDER")</f>
        <v/>
      </c>
      <c r="BA14" s="7">
        <f>MAX(0,BS14,BT14)</f>
        <v/>
      </c>
      <c r="BB14">
        <f>IF(BA14&lt;=0,"PASS",IF(BA14&lt;0.02,"PASS",IF(BA14&lt;0.04,"LEAN",IF(BA14&lt;0.07,"SMALL",IF(BA14&lt;0.10,"MEDIUM","STRONG")))))</f>
        <v/>
      </c>
      <c r="BC14" s="4">
        <f>IF(BA14&lt;0.01,1,IF(BA14&lt;0.02,2,IF(BA14&lt;0.03,3,IF(BA14&lt;0.04,4,IF(BA14&lt;0.05,5,IF(BA14&lt;0.06,6,IF(BA14&lt;0.07,7,IF(BA14&lt;0.08,8,IF(BA14&lt;0.10,9,10)))))))))</f>
        <v/>
      </c>
      <c r="BD14" s="7">
        <f>IF(AZ14="OVER",(BO14)*(IF(AG14&gt;0,AG14/100,100/ABS(AG14)))-(1-(BO14)),(BP14)*(IF(AH14&gt;0,AH14/100,100/ABS(AH14)))-(1-(BP14)))</f>
        <v/>
      </c>
      <c r="BE14" s="6">
        <f>R14</f>
        <v/>
      </c>
      <c r="BF14" s="10">
        <f>IF(OR(ISBLANK(T14),ISBLANK(V14)),13,(V14-T14)/(2.56310313109))</f>
        <v/>
      </c>
      <c r="BG14" s="7">
        <f>IF(OR(ISNA(BF14),BF14&lt;=0,ISBLANK(AB14)),NA(),1-NORMSDIST(((-AB14)-(BE14))/(BF14)))</f>
        <v/>
      </c>
      <c r="BH14" s="7">
        <f>IF(OR(ISNA(BF14),BF14&lt;=0,ISBLANK(Z14)),NA(),NORMSDIST(((Z14)-(BE14))/(BF14)))</f>
        <v/>
      </c>
      <c r="BI14" s="7">
        <f>IF(OR(ISBLANK(AC14),AC14=0),NA(),IF(AC14&gt;0,100/(AC14+100),-(AC14)/(-(AC14)+100)))</f>
        <v/>
      </c>
      <c r="BJ14" s="7">
        <f>IF(OR(ISBLANK(AA14),AA14=0),NA(),IF(AA14&gt;0,100/(AA14+100),-(AA14)/(-(AA14)+100)))</f>
        <v/>
      </c>
      <c r="BK14" s="7">
        <f>BG14-BI14</f>
        <v/>
      </c>
      <c r="BL14" s="7">
        <f>BH14-BJ14</f>
        <v/>
      </c>
      <c r="BM14" s="6">
        <f>S14</f>
        <v/>
      </c>
      <c r="BN14" s="10">
        <f>IF(OR(ISBLANK(W14),ISBLANK(Y14)),16,(Y14-W14)/(2.56310313109))</f>
        <v/>
      </c>
      <c r="BO14" s="7">
        <f>IF(OR(ISNA(BN14),BN14&lt;=0,ISBLANK(AF14)),NA(),1-NORMSDIST(((AF14)-(BM14))/(BN14)))</f>
        <v/>
      </c>
      <c r="BP14" s="7">
        <f>IF(ISNA(BO14),NA(),1-(BO14))</f>
        <v/>
      </c>
      <c r="BQ14" s="7">
        <f>IF(OR(ISBLANK(AG14),AG14=0),NA(),IF(AG14&gt;0,100/(AG14+100),-(AG14)/(-(AG14)+100)))</f>
        <v/>
      </c>
      <c r="BR14" s="7">
        <f>IF(OR(ISBLANK(AH14),AH14=0),NA(),IF(AH14&gt;0,100/(AH14+100),-(AH14)/(-(AH14)+100)))</f>
        <v/>
      </c>
      <c r="BS14" s="7">
        <f>BO14-BQ14</f>
        <v/>
      </c>
      <c r="BT14" s="7">
        <f>BP14-BR14</f>
        <v/>
      </c>
    </row>
    <row r="15">
      <c r="A15" s="4" t="n">
        <v>2026</v>
      </c>
      <c r="B15" s="4" t="n">
        <v>1</v>
      </c>
      <c r="C15" t="inlineStr">
        <is>
          <t>2026-09-13</t>
        </is>
      </c>
      <c r="D15" t="inlineStr">
        <is>
          <t>16:25</t>
        </is>
      </c>
      <c r="E15" s="5" t="n">
        <v>46278.68402777778</v>
      </c>
      <c r="F15" t="inlineStr">
        <is>
          <t>2026_01_WAS_PHI</t>
        </is>
      </c>
      <c r="G15" t="inlineStr">
        <is>
          <t>WSH</t>
        </is>
      </c>
      <c r="H15" t="inlineStr">
        <is>
          <t>PHI</t>
        </is>
      </c>
      <c r="I15" s="6" t="n">
        <v>5.5</v>
      </c>
      <c r="J15" s="6" t="n">
        <v>-5.5</v>
      </c>
      <c r="K15" s="4" t="n">
        <v>180</v>
      </c>
      <c r="L15" s="4" t="n">
        <v>-218</v>
      </c>
      <c r="M15" s="6" t="n">
        <v>44.5</v>
      </c>
      <c r="N15" s="7" t="n">
        <v>0.343</v>
      </c>
      <c r="O15" s="7" t="n">
        <v>0.657</v>
      </c>
      <c r="P15" s="6" t="n">
        <v>20.1</v>
      </c>
      <c r="Q15" s="6" t="n">
        <v>23.9</v>
      </c>
      <c r="R15" s="6" t="n">
        <v>3.8</v>
      </c>
      <c r="S15" s="6" t="n">
        <v>44.1</v>
      </c>
      <c r="T15" s="6" t="n">
        <v>-13.8</v>
      </c>
      <c r="U15" s="6" t="n">
        <v>3.6</v>
      </c>
      <c r="V15" s="6" t="n">
        <v>20.6</v>
      </c>
      <c r="W15" s="6" t="n">
        <v>27.8</v>
      </c>
      <c r="X15" s="6" t="n">
        <v>41.5</v>
      </c>
      <c r="Y15" s="6" t="n">
        <v>60.8</v>
      </c>
      <c r="Z15" s="8" t="n">
        <v>5.5</v>
      </c>
      <c r="AA15" s="9" t="n">
        <v>-110</v>
      </c>
      <c r="AB15" s="8">
        <f>-Z15</f>
        <v/>
      </c>
      <c r="AC15" s="9" t="n">
        <v>-110</v>
      </c>
      <c r="AD15" s="9" t="n">
        <v>180</v>
      </c>
      <c r="AE15" s="9" t="n">
        <v>-218</v>
      </c>
      <c r="AF15" s="8" t="n">
        <v>44.5</v>
      </c>
      <c r="AG15" s="9" t="n">
        <v>-110</v>
      </c>
      <c r="AH15" s="9" t="n">
        <v>-110</v>
      </c>
      <c r="AI15" s="6">
        <f>IF(OR(ISBLANK(AB15),ISBLANK(R15)),NA(),R15+AB15)</f>
        <v/>
      </c>
      <c r="AJ15" s="7">
        <f>IF(OR(ISBLANK(AD15),AD15=0),NA(),IF(AD15&gt;0,100/(AD15+100),-(AD15)/(-(AD15)+100)))</f>
        <v/>
      </c>
      <c r="AK15" s="7">
        <f>IF(OR(ISBLANK(AE15),AE15=0),NA(),IF(AE15&gt;0,100/(AE15+100),-(AE15)/(-(AE15)+100)))</f>
        <v/>
      </c>
      <c r="AL15" s="7">
        <f>IF(OR(ISNA(AK15),ISNA(AJ15)),NA(),AJ15/(AK15+AJ15))</f>
        <v/>
      </c>
      <c r="AM15" s="7">
        <f>IF(OR(ISNA(AK15),ISNA(AJ15)),NA(),AK15/(AK15+AJ15))</f>
        <v/>
      </c>
      <c r="AN15" s="7">
        <f>N15-AL15</f>
        <v/>
      </c>
      <c r="AO15" s="7">
        <f>O15-AM15</f>
        <v/>
      </c>
      <c r="AP15">
        <f>IF(BK15&gt;=BL15,H15,G15)</f>
        <v/>
      </c>
      <c r="AQ15" s="7">
        <f>MAX(0,BK15,BL15)</f>
        <v/>
      </c>
      <c r="AR15">
        <f>IF(AQ15&lt;=0,"PASS",IF(AQ15&lt;0.02,"PASS",IF(AQ15&lt;0.04,"LEAN",IF(AQ15&lt;0.07,"SMALL",IF(AQ15&lt;0.10,"MEDIUM","STRONG")))))</f>
        <v/>
      </c>
      <c r="AS15" s="4">
        <f>IF(AQ15&lt;0.01,1,IF(AQ15&lt;0.02,2,IF(AQ15&lt;0.03,3,IF(AQ15&lt;0.04,4,IF(AQ15&lt;0.05,5,IF(AQ15&lt;0.06,6,IF(AQ15&lt;0.07,7,IF(AQ15&lt;0.08,8,IF(AQ15&lt;0.10,9,10)))))))))</f>
        <v/>
      </c>
      <c r="AT15" s="7">
        <f>IF(AP15=H15,(BG15)*(IF(AC15&gt;0,AC15/100,100/ABS(AC15)))-(1-(BG15)),(BH15)*(IF(AA15&gt;0,AA15/100,100/ABS(AA15)))-(1-(BH15)))</f>
        <v/>
      </c>
      <c r="AU15">
        <f>IF((O15-AK15)&gt;=(N15-AJ15),H15,G15)</f>
        <v/>
      </c>
      <c r="AV15" s="7">
        <f>MAX(0,(O15-AK15),(N15-AJ15))</f>
        <v/>
      </c>
      <c r="AW15">
        <f>IF(AV15&lt;=0,"PASS",IF(AV15&lt;0.02,"PASS",IF(AV15&lt;0.04,"LEAN",IF(AV15&lt;0.07,"SMALL",IF(AV15&lt;0.10,"MEDIUM","STRONG")))))</f>
        <v/>
      </c>
      <c r="AX15" s="4">
        <f>IF(AV15&lt;0.01,1,IF(AV15&lt;0.02,2,IF(AV15&lt;0.03,3,IF(AV15&lt;0.04,4,IF(AV15&lt;0.05,5,IF(AV15&lt;0.06,6,IF(AV15&lt;0.07,7,IF(AV15&lt;0.08,8,IF(AV15&lt;0.10,9,10)))))))))</f>
        <v/>
      </c>
      <c r="AY15" s="7">
        <f>IF(AU15=H15,(O15)*(IF(AE15&gt;0,AE15/100,100/ABS(AE15)))-(1-(O15)),(N15)*(IF(AD15&gt;0,AD15/100,100/ABS(AD15)))-(1-(N15)))</f>
        <v/>
      </c>
      <c r="AZ15">
        <f>IF(BS15&gt;=BT15,"OVER","UNDER")</f>
        <v/>
      </c>
      <c r="BA15" s="7">
        <f>MAX(0,BS15,BT15)</f>
        <v/>
      </c>
      <c r="BB15">
        <f>IF(BA15&lt;=0,"PASS",IF(BA15&lt;0.02,"PASS",IF(BA15&lt;0.04,"LEAN",IF(BA15&lt;0.07,"SMALL",IF(BA15&lt;0.10,"MEDIUM","STRONG")))))</f>
        <v/>
      </c>
      <c r="BC15" s="4">
        <f>IF(BA15&lt;0.01,1,IF(BA15&lt;0.02,2,IF(BA15&lt;0.03,3,IF(BA15&lt;0.04,4,IF(BA15&lt;0.05,5,IF(BA15&lt;0.06,6,IF(BA15&lt;0.07,7,IF(BA15&lt;0.08,8,IF(BA15&lt;0.10,9,10)))))))))</f>
        <v/>
      </c>
      <c r="BD15" s="7">
        <f>IF(AZ15="OVER",(BO15)*(IF(AG15&gt;0,AG15/100,100/ABS(AG15)))-(1-(BO15)),(BP15)*(IF(AH15&gt;0,AH15/100,100/ABS(AH15)))-(1-(BP15)))</f>
        <v/>
      </c>
      <c r="BE15" s="6">
        <f>R15</f>
        <v/>
      </c>
      <c r="BF15" s="10">
        <f>IF(OR(ISBLANK(T15),ISBLANK(V15)),13,(V15-T15)/(2.56310313109))</f>
        <v/>
      </c>
      <c r="BG15" s="7">
        <f>IF(OR(ISNA(BF15),BF15&lt;=0,ISBLANK(AB15)),NA(),1-NORMSDIST(((-AB15)-(BE15))/(BF15)))</f>
        <v/>
      </c>
      <c r="BH15" s="7">
        <f>IF(OR(ISNA(BF15),BF15&lt;=0,ISBLANK(Z15)),NA(),NORMSDIST(((Z15)-(BE15))/(BF15)))</f>
        <v/>
      </c>
      <c r="BI15" s="7">
        <f>IF(OR(ISBLANK(AC15),AC15=0),NA(),IF(AC15&gt;0,100/(AC15+100),-(AC15)/(-(AC15)+100)))</f>
        <v/>
      </c>
      <c r="BJ15" s="7">
        <f>IF(OR(ISBLANK(AA15),AA15=0),NA(),IF(AA15&gt;0,100/(AA15+100),-(AA15)/(-(AA15)+100)))</f>
        <v/>
      </c>
      <c r="BK15" s="7">
        <f>BG15-BI15</f>
        <v/>
      </c>
      <c r="BL15" s="7">
        <f>BH15-BJ15</f>
        <v/>
      </c>
      <c r="BM15" s="6">
        <f>S15</f>
        <v/>
      </c>
      <c r="BN15" s="10">
        <f>IF(OR(ISBLANK(W15),ISBLANK(Y15)),16,(Y15-W15)/(2.56310313109))</f>
        <v/>
      </c>
      <c r="BO15" s="7">
        <f>IF(OR(ISNA(BN15),BN15&lt;=0,ISBLANK(AF15)),NA(),1-NORMSDIST(((AF15)-(BM15))/(BN15)))</f>
        <v/>
      </c>
      <c r="BP15" s="7">
        <f>IF(ISNA(BO15),NA(),1-(BO15))</f>
        <v/>
      </c>
      <c r="BQ15" s="7">
        <f>IF(OR(ISBLANK(AG15),AG15=0),NA(),IF(AG15&gt;0,100/(AG15+100),-(AG15)/(-(AG15)+100)))</f>
        <v/>
      </c>
      <c r="BR15" s="7">
        <f>IF(OR(ISBLANK(AH15),AH15=0),NA(),IF(AH15&gt;0,100/(AH15+100),-(AH15)/(-(AH15)+100)))</f>
        <v/>
      </c>
      <c r="BS15" s="7">
        <f>BO15-BQ15</f>
        <v/>
      </c>
      <c r="BT15" s="7">
        <f>BP15-BR15</f>
        <v/>
      </c>
    </row>
    <row r="16">
      <c r="A16" s="4" t="n">
        <v>2026</v>
      </c>
      <c r="B16" s="4" t="n">
        <v>1</v>
      </c>
      <c r="C16" t="inlineStr">
        <is>
          <t>2026-09-13</t>
        </is>
      </c>
      <c r="D16" t="inlineStr">
        <is>
          <t>20:20</t>
        </is>
      </c>
      <c r="E16" s="5" t="n">
        <v>46278.84722222222</v>
      </c>
      <c r="F16" t="inlineStr">
        <is>
          <t>2026_01_DAL_NYG</t>
        </is>
      </c>
      <c r="G16" t="inlineStr">
        <is>
          <t>DAL</t>
        </is>
      </c>
      <c r="H16" t="inlineStr">
        <is>
          <t>NYG</t>
        </is>
      </c>
      <c r="I16" s="6" t="n">
        <v>-3</v>
      </c>
      <c r="J16" s="6" t="n">
        <v>3</v>
      </c>
      <c r="K16" s="4" t="n">
        <v>-162</v>
      </c>
      <c r="L16" s="4" t="n">
        <v>136</v>
      </c>
      <c r="M16" s="6" t="n">
        <v>48.5</v>
      </c>
      <c r="N16" s="7" t="n">
        <v>0.6416999999999999</v>
      </c>
      <c r="O16" s="7" t="n">
        <v>0.3583</v>
      </c>
      <c r="P16" s="6" t="n">
        <v>23.3</v>
      </c>
      <c r="Q16" s="6" t="n">
        <v>20.8</v>
      </c>
      <c r="R16" s="6" t="n">
        <v>-2.5</v>
      </c>
      <c r="S16" s="6" t="n">
        <v>44.1</v>
      </c>
      <c r="T16" s="6" t="n">
        <v>-18.4</v>
      </c>
      <c r="U16" s="6" t="n">
        <v>-3.8</v>
      </c>
      <c r="V16" s="6" t="n">
        <v>14.8</v>
      </c>
      <c r="W16" s="6" t="n">
        <v>30.1</v>
      </c>
      <c r="X16" s="6" t="n">
        <v>45.6</v>
      </c>
      <c r="Y16" s="6" t="n">
        <v>64.90000000000001</v>
      </c>
      <c r="Z16" s="8" t="n">
        <v>-3</v>
      </c>
      <c r="AA16" s="9" t="n">
        <v>-110</v>
      </c>
      <c r="AB16" s="8">
        <f>-Z16</f>
        <v/>
      </c>
      <c r="AC16" s="9" t="n">
        <v>-110</v>
      </c>
      <c r="AD16" s="9" t="n">
        <v>-162</v>
      </c>
      <c r="AE16" s="9" t="n">
        <v>136</v>
      </c>
      <c r="AF16" s="8" t="n">
        <v>48.5</v>
      </c>
      <c r="AG16" s="9" t="n">
        <v>-110</v>
      </c>
      <c r="AH16" s="9" t="n">
        <v>-110</v>
      </c>
      <c r="AI16" s="6">
        <f>IF(OR(ISBLANK(AB16),ISBLANK(R16)),NA(),R16+AB16)</f>
        <v/>
      </c>
      <c r="AJ16" s="7">
        <f>IF(OR(ISBLANK(AD16),AD16=0),NA(),IF(AD16&gt;0,100/(AD16+100),-(AD16)/(-(AD16)+100)))</f>
        <v/>
      </c>
      <c r="AK16" s="7">
        <f>IF(OR(ISBLANK(AE16),AE16=0),NA(),IF(AE16&gt;0,100/(AE16+100),-(AE16)/(-(AE16)+100)))</f>
        <v/>
      </c>
      <c r="AL16" s="7">
        <f>IF(OR(ISNA(AK16),ISNA(AJ16)),NA(),AJ16/(AK16+AJ16))</f>
        <v/>
      </c>
      <c r="AM16" s="7">
        <f>IF(OR(ISNA(AK16),ISNA(AJ16)),NA(),AK16/(AK16+AJ16))</f>
        <v/>
      </c>
      <c r="AN16" s="7">
        <f>N16-AL16</f>
        <v/>
      </c>
      <c r="AO16" s="7">
        <f>O16-AM16</f>
        <v/>
      </c>
      <c r="AP16">
        <f>IF(BK16&gt;=BL16,H16,G16)</f>
        <v/>
      </c>
      <c r="AQ16" s="7">
        <f>MAX(0,BK16,BL16)</f>
        <v/>
      </c>
      <c r="AR16">
        <f>IF(AQ16&lt;=0,"PASS",IF(AQ16&lt;0.02,"PASS",IF(AQ16&lt;0.04,"LEAN",IF(AQ16&lt;0.07,"SMALL",IF(AQ16&lt;0.10,"MEDIUM","STRONG")))))</f>
        <v/>
      </c>
      <c r="AS16" s="4">
        <f>IF(AQ16&lt;0.01,1,IF(AQ16&lt;0.02,2,IF(AQ16&lt;0.03,3,IF(AQ16&lt;0.04,4,IF(AQ16&lt;0.05,5,IF(AQ16&lt;0.06,6,IF(AQ16&lt;0.07,7,IF(AQ16&lt;0.08,8,IF(AQ16&lt;0.10,9,10)))))))))</f>
        <v/>
      </c>
      <c r="AT16" s="7">
        <f>IF(AP16=H16,(BG16)*(IF(AC16&gt;0,AC16/100,100/ABS(AC16)))-(1-(BG16)),(BH16)*(IF(AA16&gt;0,AA16/100,100/ABS(AA16)))-(1-(BH16)))</f>
        <v/>
      </c>
      <c r="AU16">
        <f>IF((O16-AK16)&gt;=(N16-AJ16),H16,G16)</f>
        <v/>
      </c>
      <c r="AV16" s="7">
        <f>MAX(0,(O16-AK16),(N16-AJ16))</f>
        <v/>
      </c>
      <c r="AW16">
        <f>IF(AV16&lt;=0,"PASS",IF(AV16&lt;0.02,"PASS",IF(AV16&lt;0.04,"LEAN",IF(AV16&lt;0.07,"SMALL",IF(AV16&lt;0.10,"MEDIUM","STRONG")))))</f>
        <v/>
      </c>
      <c r="AX16" s="4">
        <f>IF(AV16&lt;0.01,1,IF(AV16&lt;0.02,2,IF(AV16&lt;0.03,3,IF(AV16&lt;0.04,4,IF(AV16&lt;0.05,5,IF(AV16&lt;0.06,6,IF(AV16&lt;0.07,7,IF(AV16&lt;0.08,8,IF(AV16&lt;0.10,9,10)))))))))</f>
        <v/>
      </c>
      <c r="AY16" s="7">
        <f>IF(AU16=H16,(O16)*(IF(AE16&gt;0,AE16/100,100/ABS(AE16)))-(1-(O16)),(N16)*(IF(AD16&gt;0,AD16/100,100/ABS(AD16)))-(1-(N16)))</f>
        <v/>
      </c>
      <c r="AZ16">
        <f>IF(BS16&gt;=BT16,"OVER","UNDER")</f>
        <v/>
      </c>
      <c r="BA16" s="7">
        <f>MAX(0,BS16,BT16)</f>
        <v/>
      </c>
      <c r="BB16">
        <f>IF(BA16&lt;=0,"PASS",IF(BA16&lt;0.02,"PASS",IF(BA16&lt;0.04,"LEAN",IF(BA16&lt;0.07,"SMALL",IF(BA16&lt;0.10,"MEDIUM","STRONG")))))</f>
        <v/>
      </c>
      <c r="BC16" s="4">
        <f>IF(BA16&lt;0.01,1,IF(BA16&lt;0.02,2,IF(BA16&lt;0.03,3,IF(BA16&lt;0.04,4,IF(BA16&lt;0.05,5,IF(BA16&lt;0.06,6,IF(BA16&lt;0.07,7,IF(BA16&lt;0.08,8,IF(BA16&lt;0.10,9,10)))))))))</f>
        <v/>
      </c>
      <c r="BD16" s="7">
        <f>IF(AZ16="OVER",(BO16)*(IF(AG16&gt;0,AG16/100,100/ABS(AG16)))-(1-(BO16)),(BP16)*(IF(AH16&gt;0,AH16/100,100/ABS(AH16)))-(1-(BP16)))</f>
        <v/>
      </c>
      <c r="BE16" s="6">
        <f>R16</f>
        <v/>
      </c>
      <c r="BF16" s="10">
        <f>IF(OR(ISBLANK(T16),ISBLANK(V16)),13,(V16-T16)/(2.56310313109))</f>
        <v/>
      </c>
      <c r="BG16" s="7">
        <f>IF(OR(ISNA(BF16),BF16&lt;=0,ISBLANK(AB16)),NA(),1-NORMSDIST(((-AB16)-(BE16))/(BF16)))</f>
        <v/>
      </c>
      <c r="BH16" s="7">
        <f>IF(OR(ISNA(BF16),BF16&lt;=0,ISBLANK(Z16)),NA(),NORMSDIST(((Z16)-(BE16))/(BF16)))</f>
        <v/>
      </c>
      <c r="BI16" s="7">
        <f>IF(OR(ISBLANK(AC16),AC16=0),NA(),IF(AC16&gt;0,100/(AC16+100),-(AC16)/(-(AC16)+100)))</f>
        <v/>
      </c>
      <c r="BJ16" s="7">
        <f>IF(OR(ISBLANK(AA16),AA16=0),NA(),IF(AA16&gt;0,100/(AA16+100),-(AA16)/(-(AA16)+100)))</f>
        <v/>
      </c>
      <c r="BK16" s="7">
        <f>BG16-BI16</f>
        <v/>
      </c>
      <c r="BL16" s="7">
        <f>BH16-BJ16</f>
        <v/>
      </c>
      <c r="BM16" s="6">
        <f>S16</f>
        <v/>
      </c>
      <c r="BN16" s="10">
        <f>IF(OR(ISBLANK(W16),ISBLANK(Y16)),16,(Y16-W16)/(2.56310313109))</f>
        <v/>
      </c>
      <c r="BO16" s="7">
        <f>IF(OR(ISNA(BN16),BN16&lt;=0,ISBLANK(AF16)),NA(),1-NORMSDIST(((AF16)-(BM16))/(BN16)))</f>
        <v/>
      </c>
      <c r="BP16" s="7">
        <f>IF(ISNA(BO16),NA(),1-(BO16))</f>
        <v/>
      </c>
      <c r="BQ16" s="7">
        <f>IF(OR(ISBLANK(AG16),AG16=0),NA(),IF(AG16&gt;0,100/(AG16+100),-(AG16)/(-(AG16)+100)))</f>
        <v/>
      </c>
      <c r="BR16" s="7">
        <f>IF(OR(ISBLANK(AH16),AH16=0),NA(),IF(AH16&gt;0,100/(AH16+100),-(AH16)/(-(AH16)+100)))</f>
        <v/>
      </c>
      <c r="BS16" s="7">
        <f>BO16-BQ16</f>
        <v/>
      </c>
      <c r="BT16" s="7">
        <f>BP16-BR16</f>
        <v/>
      </c>
    </row>
    <row r="17">
      <c r="A17" s="4" t="n">
        <v>2026</v>
      </c>
      <c r="B17" s="4" t="n">
        <v>1</v>
      </c>
      <c r="C17" t="inlineStr">
        <is>
          <t>2026-09-14</t>
        </is>
      </c>
      <c r="D17" t="inlineStr">
        <is>
          <t>20:15</t>
        </is>
      </c>
      <c r="E17" s="5" t="n">
        <v>46279.84375</v>
      </c>
      <c r="F17" t="inlineStr">
        <is>
          <t>2026_01_DEN_KC</t>
        </is>
      </c>
      <c r="G17" t="inlineStr">
        <is>
          <t>DEN</t>
        </is>
      </c>
      <c r="H17" t="inlineStr">
        <is>
          <t>KC</t>
        </is>
      </c>
      <c r="I17" s="6" t="n">
        <v>3</v>
      </c>
      <c r="J17" s="6" t="n">
        <v>-3</v>
      </c>
      <c r="K17" s="4" t="n">
        <v>130</v>
      </c>
      <c r="L17" s="4" t="n">
        <v>-155</v>
      </c>
      <c r="M17" s="6" t="n">
        <v>43.5</v>
      </c>
      <c r="N17" s="7" t="n">
        <v>0.5977</v>
      </c>
      <c r="O17" s="7" t="n">
        <v>0.4023</v>
      </c>
      <c r="P17" s="6" t="n">
        <v>22.8</v>
      </c>
      <c r="Q17" s="6" t="n">
        <v>21.2</v>
      </c>
      <c r="R17" s="6" t="n">
        <v>-1.6</v>
      </c>
      <c r="S17" s="6" t="n">
        <v>44.1</v>
      </c>
      <c r="T17" s="6" t="n">
        <v>-16.9</v>
      </c>
      <c r="U17" s="6" t="n">
        <v>0.5</v>
      </c>
      <c r="V17" s="6" t="n">
        <v>17.4</v>
      </c>
      <c r="W17" s="6" t="n">
        <v>28.5</v>
      </c>
      <c r="X17" s="6" t="n">
        <v>41.7</v>
      </c>
      <c r="Y17" s="6" t="n">
        <v>60.2</v>
      </c>
      <c r="Z17" s="8" t="n">
        <v>3</v>
      </c>
      <c r="AA17" s="9" t="n">
        <v>-110</v>
      </c>
      <c r="AB17" s="8">
        <f>-Z17</f>
        <v/>
      </c>
      <c r="AC17" s="9" t="n">
        <v>-110</v>
      </c>
      <c r="AD17" s="9" t="n">
        <v>130</v>
      </c>
      <c r="AE17" s="9" t="n">
        <v>-155</v>
      </c>
      <c r="AF17" s="8" t="n">
        <v>43.5</v>
      </c>
      <c r="AG17" s="9" t="n">
        <v>-110</v>
      </c>
      <c r="AH17" s="9" t="n">
        <v>-110</v>
      </c>
      <c r="AI17" s="6">
        <f>IF(OR(ISBLANK(AB17),ISBLANK(R17)),NA(),R17+AB17)</f>
        <v/>
      </c>
      <c r="AJ17" s="7">
        <f>IF(OR(ISBLANK(AD17),AD17=0),NA(),IF(AD17&gt;0,100/(AD17+100),-(AD17)/(-(AD17)+100)))</f>
        <v/>
      </c>
      <c r="AK17" s="7">
        <f>IF(OR(ISBLANK(AE17),AE17=0),NA(),IF(AE17&gt;0,100/(AE17+100),-(AE17)/(-(AE17)+100)))</f>
        <v/>
      </c>
      <c r="AL17" s="7">
        <f>IF(OR(ISNA(AK17),ISNA(AJ17)),NA(),AJ17/(AK17+AJ17))</f>
        <v/>
      </c>
      <c r="AM17" s="7">
        <f>IF(OR(ISNA(AK17),ISNA(AJ17)),NA(),AK17/(AK17+AJ17))</f>
        <v/>
      </c>
      <c r="AN17" s="7">
        <f>N17-AL17</f>
        <v/>
      </c>
      <c r="AO17" s="7">
        <f>O17-AM17</f>
        <v/>
      </c>
      <c r="AP17">
        <f>IF(BK17&gt;=BL17,H17,G17)</f>
        <v/>
      </c>
      <c r="AQ17" s="7">
        <f>MAX(0,BK17,BL17)</f>
        <v/>
      </c>
      <c r="AR17">
        <f>IF(AQ17&lt;=0,"PASS",IF(AQ17&lt;0.02,"PASS",IF(AQ17&lt;0.04,"LEAN",IF(AQ17&lt;0.07,"SMALL",IF(AQ17&lt;0.10,"MEDIUM","STRONG")))))</f>
        <v/>
      </c>
      <c r="AS17" s="4">
        <f>IF(AQ17&lt;0.01,1,IF(AQ17&lt;0.02,2,IF(AQ17&lt;0.03,3,IF(AQ17&lt;0.04,4,IF(AQ17&lt;0.05,5,IF(AQ17&lt;0.06,6,IF(AQ17&lt;0.07,7,IF(AQ17&lt;0.08,8,IF(AQ17&lt;0.10,9,10)))))))))</f>
        <v/>
      </c>
      <c r="AT17" s="7">
        <f>IF(AP17=H17,(BG17)*(IF(AC17&gt;0,AC17/100,100/ABS(AC17)))-(1-(BG17)),(BH17)*(IF(AA17&gt;0,AA17/100,100/ABS(AA17)))-(1-(BH17)))</f>
        <v/>
      </c>
      <c r="AU17">
        <f>IF((O17-AK17)&gt;=(N17-AJ17),H17,G17)</f>
        <v/>
      </c>
      <c r="AV17" s="7">
        <f>MAX(0,(O17-AK17),(N17-AJ17))</f>
        <v/>
      </c>
      <c r="AW17">
        <f>IF(AV17&lt;=0,"PASS",IF(AV17&lt;0.02,"PASS",IF(AV17&lt;0.04,"LEAN",IF(AV17&lt;0.07,"SMALL",IF(AV17&lt;0.10,"MEDIUM","STRONG")))))</f>
        <v/>
      </c>
      <c r="AX17" s="4">
        <f>IF(AV17&lt;0.01,1,IF(AV17&lt;0.02,2,IF(AV17&lt;0.03,3,IF(AV17&lt;0.04,4,IF(AV17&lt;0.05,5,IF(AV17&lt;0.06,6,IF(AV17&lt;0.07,7,IF(AV17&lt;0.08,8,IF(AV17&lt;0.10,9,10)))))))))</f>
        <v/>
      </c>
      <c r="AY17" s="7">
        <f>IF(AU17=H17,(O17)*(IF(AE17&gt;0,AE17/100,100/ABS(AE17)))-(1-(O17)),(N17)*(IF(AD17&gt;0,AD17/100,100/ABS(AD17)))-(1-(N17)))</f>
        <v/>
      </c>
      <c r="AZ17">
        <f>IF(BS17&gt;=BT17,"OVER","UNDER")</f>
        <v/>
      </c>
      <c r="BA17" s="7">
        <f>MAX(0,BS17,BT17)</f>
        <v/>
      </c>
      <c r="BB17">
        <f>IF(BA17&lt;=0,"PASS",IF(BA17&lt;0.02,"PASS",IF(BA17&lt;0.04,"LEAN",IF(BA17&lt;0.07,"SMALL",IF(BA17&lt;0.10,"MEDIUM","STRONG")))))</f>
        <v/>
      </c>
      <c r="BC17" s="4">
        <f>IF(BA17&lt;0.01,1,IF(BA17&lt;0.02,2,IF(BA17&lt;0.03,3,IF(BA17&lt;0.04,4,IF(BA17&lt;0.05,5,IF(BA17&lt;0.06,6,IF(BA17&lt;0.07,7,IF(BA17&lt;0.08,8,IF(BA17&lt;0.10,9,10)))))))))</f>
        <v/>
      </c>
      <c r="BD17" s="7">
        <f>IF(AZ17="OVER",(BO17)*(IF(AG17&gt;0,AG17/100,100/ABS(AG17)))-(1-(BO17)),(BP17)*(IF(AH17&gt;0,AH17/100,100/ABS(AH17)))-(1-(BP17)))</f>
        <v/>
      </c>
      <c r="BE17" s="6">
        <f>R17</f>
        <v/>
      </c>
      <c r="BF17" s="10">
        <f>IF(OR(ISBLANK(T17),ISBLANK(V17)),13,(V17-T17)/(2.56310313109))</f>
        <v/>
      </c>
      <c r="BG17" s="7">
        <f>IF(OR(ISNA(BF17),BF17&lt;=0,ISBLANK(AB17)),NA(),1-NORMSDIST(((-AB17)-(BE17))/(BF17)))</f>
        <v/>
      </c>
      <c r="BH17" s="7">
        <f>IF(OR(ISNA(BF17),BF17&lt;=0,ISBLANK(Z17)),NA(),NORMSDIST(((Z17)-(BE17))/(BF17)))</f>
        <v/>
      </c>
      <c r="BI17" s="7">
        <f>IF(OR(ISBLANK(AC17),AC17=0),NA(),IF(AC17&gt;0,100/(AC17+100),-(AC17)/(-(AC17)+100)))</f>
        <v/>
      </c>
      <c r="BJ17" s="7">
        <f>IF(OR(ISBLANK(AA17),AA17=0),NA(),IF(AA17&gt;0,100/(AA17+100),-(AA17)/(-(AA17)+100)))</f>
        <v/>
      </c>
      <c r="BK17" s="7">
        <f>BG17-BI17</f>
        <v/>
      </c>
      <c r="BL17" s="7">
        <f>BH17-BJ17</f>
        <v/>
      </c>
      <c r="BM17" s="6">
        <f>S17</f>
        <v/>
      </c>
      <c r="BN17" s="10">
        <f>IF(OR(ISBLANK(W17),ISBLANK(Y17)),16,(Y17-W17)/(2.56310313109))</f>
        <v/>
      </c>
      <c r="BO17" s="7">
        <f>IF(OR(ISNA(BN17),BN17&lt;=0,ISBLANK(AF17)),NA(),1-NORMSDIST(((AF17)-(BM17))/(BN17)))</f>
        <v/>
      </c>
      <c r="BP17" s="7">
        <f>IF(ISNA(BO17),NA(),1-(BO17))</f>
        <v/>
      </c>
      <c r="BQ17" s="7">
        <f>IF(OR(ISBLANK(AG17),AG17=0),NA(),IF(AG17&gt;0,100/(AG17+100),-(AG17)/(-(AG17)+100)))</f>
        <v/>
      </c>
      <c r="BR17" s="7">
        <f>IF(OR(ISBLANK(AH17),AH17=0),NA(),IF(AH17&gt;0,100/(AH17+100),-(AH17)/(-(AH17)+100)))</f>
        <v/>
      </c>
      <c r="BS17" s="7">
        <f>BO17-BQ17</f>
        <v/>
      </c>
      <c r="BT17" s="7">
        <f>BP17-BR17</f>
        <v/>
      </c>
    </row>
  </sheetData>
  <autoFilter ref="A1:BT1"/>
  <conditionalFormatting sqref="AW2:AW17">
    <cfRule type="expression" priority="1" dxfId="0" stopIfTrue="1">
      <formula>$AW2="PASS"</formula>
    </cfRule>
    <cfRule type="expression" priority="2" dxfId="1" stopIfTrue="1">
      <formula>$AW2="LEAN"</formula>
    </cfRule>
    <cfRule type="expression" priority="3" dxfId="2" stopIfTrue="1">
      <formula>$AW2="SMALL"</formula>
    </cfRule>
    <cfRule type="expression" priority="4" dxfId="3" stopIfTrue="1">
      <formula>$AW2="MEDIUM"</formula>
    </cfRule>
    <cfRule type="expression" priority="5" dxfId="4" stopIfTrue="1">
      <formula>$AW2="STRONG"</formula>
    </cfRule>
  </conditionalFormatting>
  <conditionalFormatting sqref="AR2:AR17">
    <cfRule type="expression" priority="6" dxfId="0" stopIfTrue="1">
      <formula>$AR2="PASS"</formula>
    </cfRule>
    <cfRule type="expression" priority="7" dxfId="1" stopIfTrue="1">
      <formula>$AR2="LEAN"</formula>
    </cfRule>
    <cfRule type="expression" priority="8" dxfId="2" stopIfTrue="1">
      <formula>$AR2="SMALL"</formula>
    </cfRule>
    <cfRule type="expression" priority="9" dxfId="3" stopIfTrue="1">
      <formula>$AR2="MEDIUM"</formula>
    </cfRule>
    <cfRule type="expression" priority="10" dxfId="4" stopIfTrue="1">
      <formula>$AR2="STRONG"</formula>
    </cfRule>
  </conditionalFormatting>
  <conditionalFormatting sqref="BB2:BB17">
    <cfRule type="expression" priority="11" dxfId="0" stopIfTrue="1">
      <formula>$BB2="PASS"</formula>
    </cfRule>
    <cfRule type="expression" priority="12" dxfId="1" stopIfTrue="1">
      <formula>$BB2="LEAN"</formula>
    </cfRule>
    <cfRule type="expression" priority="13" dxfId="2" stopIfTrue="1">
      <formula>$BB2="SMALL"</formula>
    </cfRule>
    <cfRule type="expression" priority="14" dxfId="3" stopIfTrue="1">
      <formula>$BB2="MEDIUM"</formula>
    </cfRule>
    <cfRule type="expression" priority="15" dxfId="4" stopIfTrue="1">
      <formula>$BB2="STRONG"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17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8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8" customWidth="1" min="29" max="29"/>
    <col width="6" customWidth="1" min="30" max="30"/>
    <col width="6" customWidth="1" min="31" max="31"/>
    <col width="6" customWidth="1" min="32" max="32"/>
    <col width="6" customWidth="1" min="33" max="33"/>
    <col width="6" customWidth="1" min="34" max="34"/>
    <col width="6" customWidth="1" min="35" max="35"/>
    <col width="6" customWidth="1" min="36" max="36"/>
    <col width="6" customWidth="1" min="37" max="37"/>
    <col width="6" customWidth="1" min="38" max="38"/>
    <col width="6" customWidth="1" min="39" max="39"/>
    <col width="6" customWidth="1" min="40" max="40"/>
    <col width="6" customWidth="1" min="41" max="41"/>
    <col width="6" customWidth="1" min="42" max="42"/>
    <col width="6" customWidth="1" min="43" max="43"/>
    <col width="6" customWidth="1" min="44" max="44"/>
    <col width="6" customWidth="1" min="45" max="45"/>
    <col width="6" customWidth="1" min="46" max="46"/>
    <col width="6" customWidth="1" min="47" max="47"/>
    <col width="6" customWidth="1" min="48" max="48"/>
    <col width="6" customWidth="1" min="49" max="49"/>
    <col width="6" customWidth="1" min="50" max="50"/>
    <col width="6" customWidth="1" min="51" max="51"/>
    <col width="6" customWidth="1" min="52" max="52"/>
    <col width="6" customWidth="1" min="53" max="53"/>
    <col width="6" customWidth="1" min="54" max="54"/>
    <col hidden="1" width="13" customWidth="1" min="55" max="55"/>
    <col hidden="1" width="13" customWidth="1" min="56" max="56"/>
    <col hidden="1" width="13" customWidth="1" min="57" max="57"/>
    <col hidden="1" width="13" customWidth="1" min="58" max="58"/>
    <col hidden="1" width="13" customWidth="1" min="59" max="59"/>
    <col hidden="1" width="13" customWidth="1" min="60" max="60"/>
    <col hidden="1" width="13" customWidth="1" min="61" max="61"/>
    <col hidden="1" width="13" customWidth="1" min="62" max="62"/>
  </cols>
  <sheetData>
    <row r="1">
      <c r="A1" s="3" t="inlineStr">
        <is>
          <t>season</t>
        </is>
      </c>
      <c r="B1" s="3" t="inlineStr">
        <is>
          <t>week</t>
        </is>
      </c>
      <c r="C1" s="3" t="inlineStr">
        <is>
          <t>date</t>
        </is>
      </c>
      <c r="D1" s="3" t="inlineStr">
        <is>
          <t>gametime</t>
        </is>
      </c>
      <c r="E1" s="3" t="inlineStr">
        <is>
          <t>game_datetime</t>
        </is>
      </c>
      <c r="F1" s="3" t="inlineStr">
        <is>
          <t>game_id</t>
        </is>
      </c>
      <c r="G1" s="3" t="inlineStr">
        <is>
          <t>away_abbr</t>
        </is>
      </c>
      <c r="H1" s="3" t="inlineStr">
        <is>
          <t>home_abbr</t>
        </is>
      </c>
      <c r="I1" s="3" t="inlineStr">
        <is>
          <t>quarter</t>
        </is>
      </c>
      <c r="J1" s="3" t="inlineStr">
        <is>
          <t>minutes_remaining_in_quarter</t>
        </is>
      </c>
      <c r="K1" s="3" t="inlineStr">
        <is>
          <t>minutes_remaining</t>
        </is>
      </c>
      <c r="L1" s="3" t="inlineStr">
        <is>
          <t>away_score_live</t>
        </is>
      </c>
      <c r="M1" s="3" t="inlineStr">
        <is>
          <t>home_score_live</t>
        </is>
      </c>
      <c r="N1" s="3" t="inlineStr">
        <is>
          <t>current_margin</t>
        </is>
      </c>
      <c r="O1" s="3" t="inlineStr">
        <is>
          <t>current_total</t>
        </is>
      </c>
      <c r="P1" s="3" t="inlineStr">
        <is>
          <t>w_time</t>
        </is>
      </c>
      <c r="Q1" s="3" t="inlineStr">
        <is>
          <t>pregame_mu_margin</t>
        </is>
      </c>
      <c r="R1" s="3" t="inlineStr">
        <is>
          <t>pregame_sigma_margin</t>
        </is>
      </c>
      <c r="S1" s="3" t="inlineStr">
        <is>
          <t>live_mu_margin</t>
        </is>
      </c>
      <c r="T1" s="3" t="inlineStr">
        <is>
          <t>live_sigma_margin</t>
        </is>
      </c>
      <c r="U1" s="3" t="inlineStr">
        <is>
          <t>live_away_win_prob</t>
        </is>
      </c>
      <c r="V1" s="3" t="inlineStr">
        <is>
          <t>live_home_win_prob</t>
        </is>
      </c>
      <c r="W1" s="3" t="inlineStr">
        <is>
          <t>away_spread_live</t>
        </is>
      </c>
      <c r="X1" s="3" t="inlineStr">
        <is>
          <t>away_spread_odds_live</t>
        </is>
      </c>
      <c r="Y1" s="3" t="inlineStr">
        <is>
          <t>home_spread_live</t>
        </is>
      </c>
      <c r="Z1" s="3" t="inlineStr">
        <is>
          <t>home_spread_odds_live</t>
        </is>
      </c>
      <c r="AA1" s="3" t="inlineStr">
        <is>
          <t>away_moneyline_live</t>
        </is>
      </c>
      <c r="AB1" s="3" t="inlineStr">
        <is>
          <t>home_moneyline_live</t>
        </is>
      </c>
      <c r="AC1" s="3" t="inlineStr">
        <is>
          <t>total_live</t>
        </is>
      </c>
      <c r="AD1" s="3" t="inlineStr">
        <is>
          <t>total_over_odds_live</t>
        </is>
      </c>
      <c r="AE1" s="3" t="inlineStr">
        <is>
          <t>total_under_odds_live</t>
        </is>
      </c>
      <c r="AF1" s="3" t="inlineStr">
        <is>
          <t>live_p_away_cover</t>
        </is>
      </c>
      <c r="AG1" s="3" t="inlineStr">
        <is>
          <t>live_p_home_cover</t>
        </is>
      </c>
      <c r="AH1" s="3" t="inlineStr">
        <is>
          <t>live_spread_value_side</t>
        </is>
      </c>
      <c r="AI1" s="3" t="inlineStr">
        <is>
          <t>live_spread_edge_prob</t>
        </is>
      </c>
      <c r="AJ1" s="3" t="inlineStr">
        <is>
          <t>live_spread_action</t>
        </is>
      </c>
      <c r="AK1" s="3" t="inlineStr">
        <is>
          <t>live_spread_confidence_1_10</t>
        </is>
      </c>
      <c r="AL1" s="3" t="inlineStr">
        <is>
          <t>live_spread_ev</t>
        </is>
      </c>
      <c r="AM1" s="3" t="inlineStr">
        <is>
          <t>live_money_value_side</t>
        </is>
      </c>
      <c r="AN1" s="3" t="inlineStr">
        <is>
          <t>live_money_edge_prob</t>
        </is>
      </c>
      <c r="AO1" s="3" t="inlineStr">
        <is>
          <t>live_money_action</t>
        </is>
      </c>
      <c r="AP1" s="3" t="inlineStr">
        <is>
          <t>live_money_confidence_1_10</t>
        </is>
      </c>
      <c r="AQ1" s="3" t="inlineStr">
        <is>
          <t>live_moneyline_ev</t>
        </is>
      </c>
      <c r="AR1" s="3" t="inlineStr">
        <is>
          <t>pregame_mu_total</t>
        </is>
      </c>
      <c r="AS1" s="3" t="inlineStr">
        <is>
          <t>pregame_sigma_total</t>
        </is>
      </c>
      <c r="AT1" s="3" t="inlineStr">
        <is>
          <t>live_mu_total</t>
        </is>
      </c>
      <c r="AU1" s="3" t="inlineStr">
        <is>
          <t>live_sigma_total</t>
        </is>
      </c>
      <c r="AV1" s="3" t="inlineStr">
        <is>
          <t>live_p_over</t>
        </is>
      </c>
      <c r="AW1" s="3" t="inlineStr">
        <is>
          <t>live_p_under</t>
        </is>
      </c>
      <c r="AX1" s="3" t="inlineStr">
        <is>
          <t>live_total_value_side</t>
        </is>
      </c>
      <c r="AY1" s="3" t="inlineStr">
        <is>
          <t>live_total_edge_prob</t>
        </is>
      </c>
      <c r="AZ1" s="3" t="inlineStr">
        <is>
          <t>live_total_action</t>
        </is>
      </c>
      <c r="BA1" s="3" t="inlineStr">
        <is>
          <t>live_total_confidence_1_10</t>
        </is>
      </c>
      <c r="BB1" s="3" t="inlineStr">
        <is>
          <t>live_total_ev</t>
        </is>
      </c>
      <c r="BC1" s="3" t="inlineStr">
        <is>
          <t>live_spread_implied_away_prob</t>
        </is>
      </c>
      <c r="BD1" s="3" t="inlineStr">
        <is>
          <t>live_spread_implied_home_prob</t>
        </is>
      </c>
      <c r="BE1" s="3" t="inlineStr">
        <is>
          <t>live_spread_edge_away</t>
        </is>
      </c>
      <c r="BF1" s="3" t="inlineStr">
        <is>
          <t>live_spread_edge_home</t>
        </is>
      </c>
      <c r="BG1" s="3" t="inlineStr">
        <is>
          <t>live_total_implied_over_prob</t>
        </is>
      </c>
      <c r="BH1" s="3" t="inlineStr">
        <is>
          <t>live_total_implied_under_prob</t>
        </is>
      </c>
      <c r="BI1" s="3" t="inlineStr">
        <is>
          <t>live_total_edge_over</t>
        </is>
      </c>
      <c r="BJ1" s="3" t="inlineStr">
        <is>
          <t>live_total_edge_under</t>
        </is>
      </c>
    </row>
    <row r="2">
      <c r="A2" s="4">
        <f>'Bets'!A2</f>
        <v/>
      </c>
      <c r="B2" s="4">
        <f>'Bets'!B2</f>
        <v/>
      </c>
      <c r="C2">
        <f>'Bets'!C2</f>
        <v/>
      </c>
      <c r="D2">
        <f>'Bets'!D2</f>
        <v/>
      </c>
      <c r="E2" s="5">
        <f>'Bets'!E2</f>
        <v/>
      </c>
      <c r="F2">
        <f>'Bets'!F2</f>
        <v/>
      </c>
      <c r="G2">
        <f>'Bets'!G2</f>
        <v/>
      </c>
      <c r="H2">
        <f>'Bets'!H2</f>
        <v/>
      </c>
      <c r="I2" s="9" t="n">
        <v>1</v>
      </c>
      <c r="J2" s="9" t="n">
        <v>15</v>
      </c>
      <c r="K2" s="4">
        <f>IF(OR(ISBLANK(I2),ISBLANK(J2)),NA(),MAX(0,MIN(60,(4-(I2))*15+(J2))))</f>
        <v/>
      </c>
      <c r="L2" s="9" t="n">
        <v>0</v>
      </c>
      <c r="M2" s="9" t="n">
        <v>0</v>
      </c>
      <c r="N2" s="6">
        <f>IF(OR(ISBLANK(M2),ISBLANK(L2)),NA(),M2-L2)</f>
        <v/>
      </c>
      <c r="O2" s="6">
        <f>IF(OR(ISBLANK(M2),ISBLANK(L2)),NA(),M2+L2)</f>
        <v/>
      </c>
      <c r="P2" s="7">
        <f>IF(ISBLANK(K2),NA(),MAX(0,MIN(1,K2/60)))</f>
        <v/>
      </c>
      <c r="Q2" s="6">
        <f>'Bets'!R2</f>
        <v/>
      </c>
      <c r="R2" s="10">
        <f>IF(OR(ISBLANK('Bets'!T2),ISBLANK('Bets'!V2)),13,('Bets'!V2-'Bets'!T2)/(2.56310313109))</f>
        <v/>
      </c>
      <c r="S2" s="6">
        <f>IF(OR(ISNA(P2),ISNA(N2)),NA(),(P2)*(Q2)+(1-(P2))*(N2))</f>
        <v/>
      </c>
      <c r="T2" s="10">
        <f>IF(OR(ISNA(P2),ISBLANK(R2)),NA(),(R2)*SQRT(P2))</f>
        <v/>
      </c>
      <c r="U2" s="7">
        <f>IF(ISNA(V2),NA(),1-(V2))</f>
        <v/>
      </c>
      <c r="V2" s="7">
        <f>IF(ISNA(P2),NA(),IF(P2&gt;=0.999999,'Bets'!O2,IF(OR(ISNA(T2),T2&lt;=0),NA(),1-NORMSDIST((0-(S2))/(T2)))))</f>
        <v/>
      </c>
      <c r="W2" s="8" t="n">
        <v>3</v>
      </c>
      <c r="X2" s="9" t="n">
        <v>-110</v>
      </c>
      <c r="Y2" s="8">
        <f>-W2</f>
        <v/>
      </c>
      <c r="Z2" s="9" t="n">
        <v>-110</v>
      </c>
      <c r="AA2" s="9" t="n">
        <v>140</v>
      </c>
      <c r="AB2" s="9" t="n">
        <v>-166</v>
      </c>
      <c r="AC2" s="8" t="n">
        <v>44.5</v>
      </c>
      <c r="AD2" s="9" t="n">
        <v>-110</v>
      </c>
      <c r="AE2" s="9" t="n">
        <v>-110</v>
      </c>
      <c r="AF2" s="7">
        <f>IF(OR(ISNA(T2),T2&lt;=0,ISBLANK(W2)),NA(),NORMSDIST(((W2)-(S2))/(T2)))</f>
        <v/>
      </c>
      <c r="AG2" s="7">
        <f>IF(OR(ISNA(T2),T2&lt;=0,ISBLANK(Y2)),NA(),1-NORMSDIST(((-Y2)-(S2))/(T2)))</f>
        <v/>
      </c>
      <c r="AH2">
        <f>IF(BF2&gt;=BE2,H2,G2)</f>
        <v/>
      </c>
      <c r="AI2" s="7">
        <f>MAX(0,BF2,BE2)</f>
        <v/>
      </c>
      <c r="AJ2">
        <f>IF(AI2&lt;=0,"PASS",IF(AI2&lt;0.02,"PASS",IF(AI2&lt;0.04,"LEAN",IF(AI2&lt;0.07,"SMALL",IF(AI2&lt;0.10,"MEDIUM","STRONG")))))</f>
        <v/>
      </c>
      <c r="AK2" s="4">
        <f>IF(AI2&lt;0.01,1,IF(AI2&lt;0.02,2,IF(AI2&lt;0.03,3,IF(AI2&lt;0.04,4,IF(AI2&lt;0.05,5,IF(AI2&lt;0.06,6,IF(AI2&lt;0.07,7,IF(AI2&lt;0.08,8,IF(AI2&lt;0.10,9,10)))))))))</f>
        <v/>
      </c>
      <c r="AL2" s="7">
        <f>IF(AH2=H2,(AG2)*(IF(Z2&gt;0,Z2/100,100/ABS(Z2)))-(1-(AG2)),(AF2)*(IF(X2&gt;0,X2/100,100/ABS(X2)))-(1-(AF2)))</f>
        <v/>
      </c>
      <c r="AM2">
        <f>IF((V2)-(IF(OR(ISBLANK(AB2),AB2=0),NA(),IF(AB2&gt;0,100/(AB2+100),-(AB2)/(-(AB2)+100))))&gt;=(U2)-(IF(OR(ISBLANK(AA2),AA2=0),NA(),IF(AA2&gt;0,100/(AA2+100),-(AA2)/(-(AA2)+100)))),H2,G2)</f>
        <v/>
      </c>
      <c r="AN2" s="7">
        <f>MAX(0,(V2)-(IF(OR(ISBLANK(AB2),AB2=0),NA(),IF(AB2&gt;0,100/(AB2+100),-(AB2)/(-(AB2)+100)))),(U2)-(IF(OR(ISBLANK(AA2),AA2=0),NA(),IF(AA2&gt;0,100/(AA2+100),-(AA2)/(-(AA2)+100)))))</f>
        <v/>
      </c>
      <c r="AO2">
        <f>IF(AN2&lt;=0,"PASS",IF(AN2&lt;0.02,"PASS",IF(AN2&lt;0.04,"LEAN",IF(AN2&lt;0.07,"SMALL",IF(AN2&lt;0.10,"MEDIUM","STRONG")))))</f>
        <v/>
      </c>
      <c r="AP2" s="4">
        <f>IF(AN2&lt;0.01,1,IF(AN2&lt;0.02,2,IF(AN2&lt;0.03,3,IF(AN2&lt;0.04,4,IF(AN2&lt;0.05,5,IF(AN2&lt;0.06,6,IF(AN2&lt;0.07,7,IF(AN2&lt;0.08,8,IF(AN2&lt;0.10,9,10)))))))))</f>
        <v/>
      </c>
      <c r="AQ2" s="7">
        <f>IF(AM2=H2,(V2)*(IF(AB2&gt;0,AB2/100,100/ABS(AB2)))-(1-(V2)),(U2)*(IF(AA2&gt;0,AA2/100,100/ABS(AA2)))-(1-(U2)))</f>
        <v/>
      </c>
      <c r="AR2" s="6">
        <f>'Bets'!S2</f>
        <v/>
      </c>
      <c r="AS2" s="10">
        <f>IF(OR(ISBLANK('Bets'!W2),ISBLANK('Bets'!Y2)),16,('Bets'!Y2-'Bets'!W2)/(2.56310313109))</f>
        <v/>
      </c>
      <c r="AT2" s="6">
        <f>IF(OR(ISNA(P2),ISNA(O2)),NA(),(P2)*(AR2)+(1-(P2))*(O2))</f>
        <v/>
      </c>
      <c r="AU2" s="10">
        <f>IF(OR(ISNA(P2),ISBLANK(AS2)),NA(),(AS2)*SQRT(P2))</f>
        <v/>
      </c>
      <c r="AV2" s="7">
        <f>IF(OR(ISNA(AU2),AU2&lt;=0,ISBLANK(AC2)),NA(),1-NORMSDIST(((AC2)-(AT2))/(AU2)))</f>
        <v/>
      </c>
      <c r="AW2" s="7">
        <f>IF(ISNA(AV2),NA(),1-(AV2))</f>
        <v/>
      </c>
      <c r="AX2">
        <f>IF(BI2&gt;=BJ2,"OVER","UNDER")</f>
        <v/>
      </c>
      <c r="AY2" s="7">
        <f>MAX(0,BI2,BJ2)</f>
        <v/>
      </c>
      <c r="AZ2">
        <f>IF(AY2&lt;=0,"PASS",IF(AY2&lt;0.02,"PASS",IF(AY2&lt;0.04,"LEAN",IF(AY2&lt;0.07,"SMALL",IF(AY2&lt;0.10,"MEDIUM","STRONG")))))</f>
        <v/>
      </c>
      <c r="BA2" s="4">
        <f>IF(AY2&lt;0.01,1,IF(AY2&lt;0.02,2,IF(AY2&lt;0.03,3,IF(AY2&lt;0.04,4,IF(AY2&lt;0.05,5,IF(AY2&lt;0.06,6,IF(AY2&lt;0.07,7,IF(AY2&lt;0.08,8,IF(AY2&lt;0.10,9,10)))))))))</f>
        <v/>
      </c>
      <c r="BB2" s="7">
        <f>IF(AX2="OVER",(AV2)*(IF(AD2&gt;0,AD2/100,100/ABS(AD2)))-(1-(AV2)),(AW2)*(IF(AE2&gt;0,AE2/100,100/ABS(AE2)))-(1-(AW2)))</f>
        <v/>
      </c>
      <c r="BC2" s="7">
        <f>IF(OR(ISBLANK(X2),X2=0),NA(),IF(X2&gt;0,100/(X2+100),-(X2)/(-(X2)+100)))</f>
        <v/>
      </c>
      <c r="BD2" s="7">
        <f>IF(OR(ISBLANK(Z2),Z2=0),NA(),IF(Z2&gt;0,100/(Z2+100),-(Z2)/(-(Z2)+100)))</f>
        <v/>
      </c>
      <c r="BE2" s="7">
        <f>AF2-BC2</f>
        <v/>
      </c>
      <c r="BF2" s="7">
        <f>AG2-BD2</f>
        <v/>
      </c>
      <c r="BG2" s="7">
        <f>IF(OR(ISBLANK(AD2),AD2=0),NA(),IF(AD2&gt;0,100/(AD2+100),-(AD2)/(-(AD2)+100)))</f>
        <v/>
      </c>
      <c r="BH2" s="7">
        <f>IF(OR(ISBLANK(AE2),AE2=0),NA(),IF(AE2&gt;0,100/(AE2+100),-(AE2)/(-(AE2)+100)))</f>
        <v/>
      </c>
      <c r="BI2" s="7">
        <f>AV2-BG2</f>
        <v/>
      </c>
      <c r="BJ2" s="7">
        <f>AW2-BH2</f>
        <v/>
      </c>
    </row>
    <row r="3">
      <c r="A3" s="4">
        <f>'Bets'!A3</f>
        <v/>
      </c>
      <c r="B3" s="4">
        <f>'Bets'!B3</f>
        <v/>
      </c>
      <c r="C3">
        <f>'Bets'!C3</f>
        <v/>
      </c>
      <c r="D3">
        <f>'Bets'!D3</f>
        <v/>
      </c>
      <c r="E3" s="5">
        <f>'Bets'!E3</f>
        <v/>
      </c>
      <c r="F3">
        <f>'Bets'!F3</f>
        <v/>
      </c>
      <c r="G3">
        <f>'Bets'!G3</f>
        <v/>
      </c>
      <c r="H3">
        <f>'Bets'!H3</f>
        <v/>
      </c>
      <c r="I3" s="9" t="n">
        <v>1</v>
      </c>
      <c r="J3" s="9" t="n">
        <v>15</v>
      </c>
      <c r="K3" s="4">
        <f>IF(OR(ISBLANK(I3),ISBLANK(J3)),NA(),MAX(0,MIN(60,(4-(I3))*15+(J3))))</f>
        <v/>
      </c>
      <c r="L3" s="9" t="n">
        <v>0</v>
      </c>
      <c r="M3" s="9" t="n">
        <v>0</v>
      </c>
      <c r="N3" s="6">
        <f>IF(OR(ISBLANK(M3),ISBLANK(L3)),NA(),M3-L3)</f>
        <v/>
      </c>
      <c r="O3" s="6">
        <f>IF(OR(ISBLANK(M3),ISBLANK(L3)),NA(),M3+L3)</f>
        <v/>
      </c>
      <c r="P3" s="7">
        <f>IF(ISBLANK(K3),NA(),MAX(0,MIN(1,K3/60)))</f>
        <v/>
      </c>
      <c r="Q3" s="6">
        <f>'Bets'!R3</f>
        <v/>
      </c>
      <c r="R3" s="10">
        <f>IF(OR(ISBLANK('Bets'!T3),ISBLANK('Bets'!V3)),13,('Bets'!V3-'Bets'!T3)/(2.56310313109))</f>
        <v/>
      </c>
      <c r="S3" s="6">
        <f>IF(OR(ISNA(P3),ISNA(N3)),NA(),(P3)*(Q3)+(1-(P3))*(N3))</f>
        <v/>
      </c>
      <c r="T3" s="10">
        <f>IF(OR(ISNA(P3),ISBLANK(R3)),NA(),(R3)*SQRT(P3))</f>
        <v/>
      </c>
      <c r="U3" s="7">
        <f>IF(ISNA(V3),NA(),1-(V3))</f>
        <v/>
      </c>
      <c r="V3" s="7">
        <f>IF(ISNA(P3),NA(),IF(P3&gt;=0.999999,'Bets'!O3,IF(OR(ISNA(T3),T3&lt;=0),NA(),1-NORMSDIST((0-(S3))/(T3)))))</f>
        <v/>
      </c>
      <c r="W3" s="8" t="n">
        <v>3.5</v>
      </c>
      <c r="X3" s="9" t="n">
        <v>-110</v>
      </c>
      <c r="Y3" s="8">
        <f>-W3</f>
        <v/>
      </c>
      <c r="Z3" s="9" t="n">
        <v>-110</v>
      </c>
      <c r="AA3" s="9" t="n">
        <v>164</v>
      </c>
      <c r="AB3" s="9" t="n">
        <v>-198</v>
      </c>
      <c r="AC3" s="8" t="n">
        <v>48.5</v>
      </c>
      <c r="AD3" s="9" t="n">
        <v>-110</v>
      </c>
      <c r="AE3" s="9" t="n">
        <v>-110</v>
      </c>
      <c r="AF3" s="7">
        <f>IF(OR(ISNA(T3),T3&lt;=0,ISBLANK(W3)),NA(),NORMSDIST(((W3)-(S3))/(T3)))</f>
        <v/>
      </c>
      <c r="AG3" s="7">
        <f>IF(OR(ISNA(T3),T3&lt;=0,ISBLANK(Y3)),NA(),1-NORMSDIST(((-Y3)-(S3))/(T3)))</f>
        <v/>
      </c>
      <c r="AH3">
        <f>IF(BF3&gt;=BE3,H3,G3)</f>
        <v/>
      </c>
      <c r="AI3" s="7">
        <f>MAX(0,BF3,BE3)</f>
        <v/>
      </c>
      <c r="AJ3">
        <f>IF(AI3&lt;=0,"PASS",IF(AI3&lt;0.02,"PASS",IF(AI3&lt;0.04,"LEAN",IF(AI3&lt;0.07,"SMALL",IF(AI3&lt;0.10,"MEDIUM","STRONG")))))</f>
        <v/>
      </c>
      <c r="AK3" s="4">
        <f>IF(AI3&lt;0.01,1,IF(AI3&lt;0.02,2,IF(AI3&lt;0.03,3,IF(AI3&lt;0.04,4,IF(AI3&lt;0.05,5,IF(AI3&lt;0.06,6,IF(AI3&lt;0.07,7,IF(AI3&lt;0.08,8,IF(AI3&lt;0.10,9,10)))))))))</f>
        <v/>
      </c>
      <c r="AL3" s="7">
        <f>IF(AH3=H3,(AG3)*(IF(Z3&gt;0,Z3/100,100/ABS(Z3)))-(1-(AG3)),(AF3)*(IF(X3&gt;0,X3/100,100/ABS(X3)))-(1-(AF3)))</f>
        <v/>
      </c>
      <c r="AM3">
        <f>IF((V3)-(IF(OR(ISBLANK(AB3),AB3=0),NA(),IF(AB3&gt;0,100/(AB3+100),-(AB3)/(-(AB3)+100))))&gt;=(U3)-(IF(OR(ISBLANK(AA3),AA3=0),NA(),IF(AA3&gt;0,100/(AA3+100),-(AA3)/(-(AA3)+100)))),H3,G3)</f>
        <v/>
      </c>
      <c r="AN3" s="7">
        <f>MAX(0,(V3)-(IF(OR(ISBLANK(AB3),AB3=0),NA(),IF(AB3&gt;0,100/(AB3+100),-(AB3)/(-(AB3)+100)))),(U3)-(IF(OR(ISBLANK(AA3),AA3=0),NA(),IF(AA3&gt;0,100/(AA3+100),-(AA3)/(-(AA3)+100)))))</f>
        <v/>
      </c>
      <c r="AO3">
        <f>IF(AN3&lt;=0,"PASS",IF(AN3&lt;0.02,"PASS",IF(AN3&lt;0.04,"LEAN",IF(AN3&lt;0.07,"SMALL",IF(AN3&lt;0.10,"MEDIUM","STRONG")))))</f>
        <v/>
      </c>
      <c r="AP3" s="4">
        <f>IF(AN3&lt;0.01,1,IF(AN3&lt;0.02,2,IF(AN3&lt;0.03,3,IF(AN3&lt;0.04,4,IF(AN3&lt;0.05,5,IF(AN3&lt;0.06,6,IF(AN3&lt;0.07,7,IF(AN3&lt;0.08,8,IF(AN3&lt;0.10,9,10)))))))))</f>
        <v/>
      </c>
      <c r="AQ3" s="7">
        <f>IF(AM3=H3,(V3)*(IF(AB3&gt;0,AB3/100,100/ABS(AB3)))-(1-(V3)),(U3)*(IF(AA3&gt;0,AA3/100,100/ABS(AA3)))-(1-(U3)))</f>
        <v/>
      </c>
      <c r="AR3" s="6">
        <f>'Bets'!S3</f>
        <v/>
      </c>
      <c r="AS3" s="10">
        <f>IF(OR(ISBLANK('Bets'!W3),ISBLANK('Bets'!Y3)),16,('Bets'!Y3-'Bets'!W3)/(2.56310313109))</f>
        <v/>
      </c>
      <c r="AT3" s="6">
        <f>IF(OR(ISNA(P3),ISNA(O3)),NA(),(P3)*(AR3)+(1-(P3))*(O3))</f>
        <v/>
      </c>
      <c r="AU3" s="10">
        <f>IF(OR(ISNA(P3),ISBLANK(AS3)),NA(),(AS3)*SQRT(P3))</f>
        <v/>
      </c>
      <c r="AV3" s="7">
        <f>IF(OR(ISNA(AU3),AU3&lt;=0,ISBLANK(AC3)),NA(),1-NORMSDIST(((AC3)-(AT3))/(AU3)))</f>
        <v/>
      </c>
      <c r="AW3" s="7">
        <f>IF(ISNA(AV3),NA(),1-(AV3))</f>
        <v/>
      </c>
      <c r="AX3">
        <f>IF(BI3&gt;=BJ3,"OVER","UNDER")</f>
        <v/>
      </c>
      <c r="AY3" s="7">
        <f>MAX(0,BI3,BJ3)</f>
        <v/>
      </c>
      <c r="AZ3">
        <f>IF(AY3&lt;=0,"PASS",IF(AY3&lt;0.02,"PASS",IF(AY3&lt;0.04,"LEAN",IF(AY3&lt;0.07,"SMALL",IF(AY3&lt;0.10,"MEDIUM","STRONG")))))</f>
        <v/>
      </c>
      <c r="BA3" s="4">
        <f>IF(AY3&lt;0.01,1,IF(AY3&lt;0.02,2,IF(AY3&lt;0.03,3,IF(AY3&lt;0.04,4,IF(AY3&lt;0.05,5,IF(AY3&lt;0.06,6,IF(AY3&lt;0.07,7,IF(AY3&lt;0.08,8,IF(AY3&lt;0.10,9,10)))))))))</f>
        <v/>
      </c>
      <c r="BB3" s="7">
        <f>IF(AX3="OVER",(AV3)*(IF(AD3&gt;0,AD3/100,100/ABS(AD3)))-(1-(AV3)),(AW3)*(IF(AE3&gt;0,AE3/100,100/ABS(AE3)))-(1-(AW3)))</f>
        <v/>
      </c>
      <c r="BC3" s="7">
        <f>IF(OR(ISBLANK(X3),X3=0),NA(),IF(X3&gt;0,100/(X3+100),-(X3)/(-(X3)+100)))</f>
        <v/>
      </c>
      <c r="BD3" s="7">
        <f>IF(OR(ISBLANK(Z3),Z3=0),NA(),IF(Z3&gt;0,100/(Z3+100),-(Z3)/(-(Z3)+100)))</f>
        <v/>
      </c>
      <c r="BE3" s="7">
        <f>AF3-BC3</f>
        <v/>
      </c>
      <c r="BF3" s="7">
        <f>AG3-BD3</f>
        <v/>
      </c>
      <c r="BG3" s="7">
        <f>IF(OR(ISBLANK(AD3),AD3=0),NA(),IF(AD3&gt;0,100/(AD3+100),-(AD3)/(-(AD3)+100)))</f>
        <v/>
      </c>
      <c r="BH3" s="7">
        <f>IF(OR(ISBLANK(AE3),AE3=0),NA(),IF(AE3&gt;0,100/(AE3+100),-(AE3)/(-(AE3)+100)))</f>
        <v/>
      </c>
      <c r="BI3" s="7">
        <f>AV3-BG3</f>
        <v/>
      </c>
      <c r="BJ3" s="7">
        <f>AW3-BH3</f>
        <v/>
      </c>
    </row>
    <row r="4">
      <c r="A4" s="4">
        <f>'Bets'!A4</f>
        <v/>
      </c>
      <c r="B4" s="4">
        <f>'Bets'!B4</f>
        <v/>
      </c>
      <c r="C4">
        <f>'Bets'!C4</f>
        <v/>
      </c>
      <c r="D4">
        <f>'Bets'!D4</f>
        <v/>
      </c>
      <c r="E4" s="5">
        <f>'Bets'!E4</f>
        <v/>
      </c>
      <c r="F4">
        <f>'Bets'!F4</f>
        <v/>
      </c>
      <c r="G4">
        <f>'Bets'!G4</f>
        <v/>
      </c>
      <c r="H4">
        <f>'Bets'!H4</f>
        <v/>
      </c>
      <c r="I4" s="9" t="n">
        <v>1</v>
      </c>
      <c r="J4" s="9" t="n">
        <v>15</v>
      </c>
      <c r="K4" s="4">
        <f>IF(OR(ISBLANK(I4),ISBLANK(J4)),NA(),MAX(0,MIN(60,(4-(I4))*15+(J4))))</f>
        <v/>
      </c>
      <c r="L4" s="9" t="n">
        <v>0</v>
      </c>
      <c r="M4" s="9" t="n">
        <v>0</v>
      </c>
      <c r="N4" s="6">
        <f>IF(OR(ISBLANK(M4),ISBLANK(L4)),NA(),M4-L4)</f>
        <v/>
      </c>
      <c r="O4" s="6">
        <f>IF(OR(ISBLANK(M4),ISBLANK(L4)),NA(),M4+L4)</f>
        <v/>
      </c>
      <c r="P4" s="7">
        <f>IF(ISBLANK(K4),NA(),MAX(0,MIN(1,K4/60)))</f>
        <v/>
      </c>
      <c r="Q4" s="6">
        <f>'Bets'!R4</f>
        <v/>
      </c>
      <c r="R4" s="10">
        <f>IF(OR(ISBLANK('Bets'!T4),ISBLANK('Bets'!V4)),13,('Bets'!V4-'Bets'!T4)/(2.56310313109))</f>
        <v/>
      </c>
      <c r="S4" s="6">
        <f>IF(OR(ISNA(P4),ISNA(N4)),NA(),(P4)*(Q4)+(1-(P4))*(N4))</f>
        <v/>
      </c>
      <c r="T4" s="10">
        <f>IF(OR(ISNA(P4),ISBLANK(R4)),NA(),(R4)*SQRT(P4))</f>
        <v/>
      </c>
      <c r="U4" s="7">
        <f>IF(ISNA(V4),NA(),1-(V4))</f>
        <v/>
      </c>
      <c r="V4" s="7">
        <f>IF(ISNA(P4),NA(),IF(P4&gt;=0.999999,'Bets'!O4,IF(OR(ISNA(T4),T4&lt;=0),NA(),1-NORMSDIST((0-(S4))/(T4)))))</f>
        <v/>
      </c>
      <c r="W4" s="8" t="n">
        <v>3.5</v>
      </c>
      <c r="X4" s="9" t="n">
        <v>-110</v>
      </c>
      <c r="Y4" s="8">
        <f>-W4</f>
        <v/>
      </c>
      <c r="Z4" s="9" t="n">
        <v>-110</v>
      </c>
      <c r="AA4" s="9" t="n">
        <v>154</v>
      </c>
      <c r="AB4" s="9" t="n">
        <v>-185</v>
      </c>
      <c r="AC4" s="8" t="n">
        <v>42.5</v>
      </c>
      <c r="AD4" s="9" t="n">
        <v>-110</v>
      </c>
      <c r="AE4" s="9" t="n">
        <v>-110</v>
      </c>
      <c r="AF4" s="7">
        <f>IF(OR(ISNA(T4),T4&lt;=0,ISBLANK(W4)),NA(),NORMSDIST(((W4)-(S4))/(T4)))</f>
        <v/>
      </c>
      <c r="AG4" s="7">
        <f>IF(OR(ISNA(T4),T4&lt;=0,ISBLANK(Y4)),NA(),1-NORMSDIST(((-Y4)-(S4))/(T4)))</f>
        <v/>
      </c>
      <c r="AH4">
        <f>IF(BF4&gt;=BE4,H4,G4)</f>
        <v/>
      </c>
      <c r="AI4" s="7">
        <f>MAX(0,BF4,BE4)</f>
        <v/>
      </c>
      <c r="AJ4">
        <f>IF(AI4&lt;=0,"PASS",IF(AI4&lt;0.02,"PASS",IF(AI4&lt;0.04,"LEAN",IF(AI4&lt;0.07,"SMALL",IF(AI4&lt;0.10,"MEDIUM","STRONG")))))</f>
        <v/>
      </c>
      <c r="AK4" s="4">
        <f>IF(AI4&lt;0.01,1,IF(AI4&lt;0.02,2,IF(AI4&lt;0.03,3,IF(AI4&lt;0.04,4,IF(AI4&lt;0.05,5,IF(AI4&lt;0.06,6,IF(AI4&lt;0.07,7,IF(AI4&lt;0.08,8,IF(AI4&lt;0.10,9,10)))))))))</f>
        <v/>
      </c>
      <c r="AL4" s="7">
        <f>IF(AH4=H4,(AG4)*(IF(Z4&gt;0,Z4/100,100/ABS(Z4)))-(1-(AG4)),(AF4)*(IF(X4&gt;0,X4/100,100/ABS(X4)))-(1-(AF4)))</f>
        <v/>
      </c>
      <c r="AM4">
        <f>IF((V4)-(IF(OR(ISBLANK(AB4),AB4=0),NA(),IF(AB4&gt;0,100/(AB4+100),-(AB4)/(-(AB4)+100))))&gt;=(U4)-(IF(OR(ISBLANK(AA4),AA4=0),NA(),IF(AA4&gt;0,100/(AA4+100),-(AA4)/(-(AA4)+100)))),H4,G4)</f>
        <v/>
      </c>
      <c r="AN4" s="7">
        <f>MAX(0,(V4)-(IF(OR(ISBLANK(AB4),AB4=0),NA(),IF(AB4&gt;0,100/(AB4+100),-(AB4)/(-(AB4)+100)))),(U4)-(IF(OR(ISBLANK(AA4),AA4=0),NA(),IF(AA4&gt;0,100/(AA4+100),-(AA4)/(-(AA4)+100)))))</f>
        <v/>
      </c>
      <c r="AO4">
        <f>IF(AN4&lt;=0,"PASS",IF(AN4&lt;0.02,"PASS",IF(AN4&lt;0.04,"LEAN",IF(AN4&lt;0.07,"SMALL",IF(AN4&lt;0.10,"MEDIUM","STRONG")))))</f>
        <v/>
      </c>
      <c r="AP4" s="4">
        <f>IF(AN4&lt;0.01,1,IF(AN4&lt;0.02,2,IF(AN4&lt;0.03,3,IF(AN4&lt;0.04,4,IF(AN4&lt;0.05,5,IF(AN4&lt;0.06,6,IF(AN4&lt;0.07,7,IF(AN4&lt;0.08,8,IF(AN4&lt;0.10,9,10)))))))))</f>
        <v/>
      </c>
      <c r="AQ4" s="7">
        <f>IF(AM4=H4,(V4)*(IF(AB4&gt;0,AB4/100,100/ABS(AB4)))-(1-(V4)),(U4)*(IF(AA4&gt;0,AA4/100,100/ABS(AA4)))-(1-(U4)))</f>
        <v/>
      </c>
      <c r="AR4" s="6">
        <f>'Bets'!S4</f>
        <v/>
      </c>
      <c r="AS4" s="10">
        <f>IF(OR(ISBLANK('Bets'!W4),ISBLANK('Bets'!Y4)),16,('Bets'!Y4-'Bets'!W4)/(2.56310313109))</f>
        <v/>
      </c>
      <c r="AT4" s="6">
        <f>IF(OR(ISNA(P4),ISNA(O4)),NA(),(P4)*(AR4)+(1-(P4))*(O4))</f>
        <v/>
      </c>
      <c r="AU4" s="10">
        <f>IF(OR(ISNA(P4),ISBLANK(AS4)),NA(),(AS4)*SQRT(P4))</f>
        <v/>
      </c>
      <c r="AV4" s="7">
        <f>IF(OR(ISNA(AU4),AU4&lt;=0,ISBLANK(AC4)),NA(),1-NORMSDIST(((AC4)-(AT4))/(AU4)))</f>
        <v/>
      </c>
      <c r="AW4" s="7">
        <f>IF(ISNA(AV4),NA(),1-(AV4))</f>
        <v/>
      </c>
      <c r="AX4">
        <f>IF(BI4&gt;=BJ4,"OVER","UNDER")</f>
        <v/>
      </c>
      <c r="AY4" s="7">
        <f>MAX(0,BI4,BJ4)</f>
        <v/>
      </c>
      <c r="AZ4">
        <f>IF(AY4&lt;=0,"PASS",IF(AY4&lt;0.02,"PASS",IF(AY4&lt;0.04,"LEAN",IF(AY4&lt;0.07,"SMALL",IF(AY4&lt;0.10,"MEDIUM","STRONG")))))</f>
        <v/>
      </c>
      <c r="BA4" s="4">
        <f>IF(AY4&lt;0.01,1,IF(AY4&lt;0.02,2,IF(AY4&lt;0.03,3,IF(AY4&lt;0.04,4,IF(AY4&lt;0.05,5,IF(AY4&lt;0.06,6,IF(AY4&lt;0.07,7,IF(AY4&lt;0.08,8,IF(AY4&lt;0.10,9,10)))))))))</f>
        <v/>
      </c>
      <c r="BB4" s="7">
        <f>IF(AX4="OVER",(AV4)*(IF(AD4&gt;0,AD4/100,100/ABS(AD4)))-(1-(AV4)),(AW4)*(IF(AE4&gt;0,AE4/100,100/ABS(AE4)))-(1-(AW4)))</f>
        <v/>
      </c>
      <c r="BC4" s="7">
        <f>IF(OR(ISBLANK(X4),X4=0),NA(),IF(X4&gt;0,100/(X4+100),-(X4)/(-(X4)+100)))</f>
        <v/>
      </c>
      <c r="BD4" s="7">
        <f>IF(OR(ISBLANK(Z4),Z4=0),NA(),IF(Z4&gt;0,100/(Z4+100),-(Z4)/(-(Z4)+100)))</f>
        <v/>
      </c>
      <c r="BE4" s="7">
        <f>AF4-BC4</f>
        <v/>
      </c>
      <c r="BF4" s="7">
        <f>AG4-BD4</f>
        <v/>
      </c>
      <c r="BG4" s="7">
        <f>IF(OR(ISBLANK(AD4),AD4=0),NA(),IF(AD4&gt;0,100/(AD4+100),-(AD4)/(-(AD4)+100)))</f>
        <v/>
      </c>
      <c r="BH4" s="7">
        <f>IF(OR(ISBLANK(AE4),AE4=0),NA(),IF(AE4&gt;0,100/(AE4+100),-(AE4)/(-(AE4)+100)))</f>
        <v/>
      </c>
      <c r="BI4" s="7">
        <f>AV4-BG4</f>
        <v/>
      </c>
      <c r="BJ4" s="7">
        <f>AW4-BH4</f>
        <v/>
      </c>
    </row>
    <row r="5">
      <c r="A5" s="4">
        <f>'Bets'!A5</f>
        <v/>
      </c>
      <c r="B5" s="4">
        <f>'Bets'!B5</f>
        <v/>
      </c>
      <c r="C5">
        <f>'Bets'!C5</f>
        <v/>
      </c>
      <c r="D5">
        <f>'Bets'!D5</f>
        <v/>
      </c>
      <c r="E5" s="5">
        <f>'Bets'!E5</f>
        <v/>
      </c>
      <c r="F5">
        <f>'Bets'!F5</f>
        <v/>
      </c>
      <c r="G5">
        <f>'Bets'!G5</f>
        <v/>
      </c>
      <c r="H5">
        <f>'Bets'!H5</f>
        <v/>
      </c>
      <c r="I5" s="9" t="n">
        <v>1</v>
      </c>
      <c r="J5" s="9" t="n">
        <v>15</v>
      </c>
      <c r="K5" s="4">
        <f>IF(OR(ISBLANK(I5),ISBLANK(J5)),NA(),MAX(0,MIN(60,(4-(I5))*15+(J5))))</f>
        <v/>
      </c>
      <c r="L5" s="9" t="n">
        <v>0</v>
      </c>
      <c r="M5" s="9" t="n">
        <v>0</v>
      </c>
      <c r="N5" s="6">
        <f>IF(OR(ISBLANK(M5),ISBLANK(L5)),NA(),M5-L5)</f>
        <v/>
      </c>
      <c r="O5" s="6">
        <f>IF(OR(ISBLANK(M5),ISBLANK(L5)),NA(),M5+L5)</f>
        <v/>
      </c>
      <c r="P5" s="7">
        <f>IF(ISBLANK(K5),NA(),MAX(0,MIN(1,K5/60)))</f>
        <v/>
      </c>
      <c r="Q5" s="6">
        <f>'Bets'!R5</f>
        <v/>
      </c>
      <c r="R5" s="10">
        <f>IF(OR(ISBLANK('Bets'!T5),ISBLANK('Bets'!V5)),13,('Bets'!V5-'Bets'!T5)/(2.56310313109))</f>
        <v/>
      </c>
      <c r="S5" s="6">
        <f>IF(OR(ISNA(P5),ISNA(N5)),NA(),(P5)*(Q5)+(1-(P5))*(N5))</f>
        <v/>
      </c>
      <c r="T5" s="10">
        <f>IF(OR(ISNA(P5),ISBLANK(R5)),NA(),(R5)*SQRT(P5))</f>
        <v/>
      </c>
      <c r="U5" s="7">
        <f>IF(ISNA(V5),NA(),1-(V5))</f>
        <v/>
      </c>
      <c r="V5" s="7">
        <f>IF(ISNA(P5),NA(),IF(P5&gt;=0.999999,'Bets'!O5,IF(OR(ISNA(T5),T5&lt;=0),NA(),1-NORMSDIST((0-(S5))/(T5)))))</f>
        <v/>
      </c>
      <c r="W5" s="8" t="n">
        <v>-3.5</v>
      </c>
      <c r="X5" s="9" t="n">
        <v>-110</v>
      </c>
      <c r="Y5" s="8">
        <f>-W5</f>
        <v/>
      </c>
      <c r="Z5" s="9" t="n">
        <v>-110</v>
      </c>
      <c r="AA5" s="9" t="n">
        <v>-175</v>
      </c>
      <c r="AB5" s="9" t="n">
        <v>145</v>
      </c>
      <c r="AC5" s="8" t="n">
        <v>47.5</v>
      </c>
      <c r="AD5" s="9" t="n">
        <v>-110</v>
      </c>
      <c r="AE5" s="9" t="n">
        <v>-110</v>
      </c>
      <c r="AF5" s="7">
        <f>IF(OR(ISNA(T5),T5&lt;=0,ISBLANK(W5)),NA(),NORMSDIST(((W5)-(S5))/(T5)))</f>
        <v/>
      </c>
      <c r="AG5" s="7">
        <f>IF(OR(ISNA(T5),T5&lt;=0,ISBLANK(Y5)),NA(),1-NORMSDIST(((-Y5)-(S5))/(T5)))</f>
        <v/>
      </c>
      <c r="AH5">
        <f>IF(BF5&gt;=BE5,H5,G5)</f>
        <v/>
      </c>
      <c r="AI5" s="7">
        <f>MAX(0,BF5,BE5)</f>
        <v/>
      </c>
      <c r="AJ5">
        <f>IF(AI5&lt;=0,"PASS",IF(AI5&lt;0.02,"PASS",IF(AI5&lt;0.04,"LEAN",IF(AI5&lt;0.07,"SMALL",IF(AI5&lt;0.10,"MEDIUM","STRONG")))))</f>
        <v/>
      </c>
      <c r="AK5" s="4">
        <f>IF(AI5&lt;0.01,1,IF(AI5&lt;0.02,2,IF(AI5&lt;0.03,3,IF(AI5&lt;0.04,4,IF(AI5&lt;0.05,5,IF(AI5&lt;0.06,6,IF(AI5&lt;0.07,7,IF(AI5&lt;0.08,8,IF(AI5&lt;0.10,9,10)))))))))</f>
        <v/>
      </c>
      <c r="AL5" s="7">
        <f>IF(AH5=H5,(AG5)*(IF(Z5&gt;0,Z5/100,100/ABS(Z5)))-(1-(AG5)),(AF5)*(IF(X5&gt;0,X5/100,100/ABS(X5)))-(1-(AF5)))</f>
        <v/>
      </c>
      <c r="AM5">
        <f>IF((V5)-(IF(OR(ISBLANK(AB5),AB5=0),NA(),IF(AB5&gt;0,100/(AB5+100),-(AB5)/(-(AB5)+100))))&gt;=(U5)-(IF(OR(ISBLANK(AA5),AA5=0),NA(),IF(AA5&gt;0,100/(AA5+100),-(AA5)/(-(AA5)+100)))),H5,G5)</f>
        <v/>
      </c>
      <c r="AN5" s="7">
        <f>MAX(0,(V5)-(IF(OR(ISBLANK(AB5),AB5=0),NA(),IF(AB5&gt;0,100/(AB5+100),-(AB5)/(-(AB5)+100)))),(U5)-(IF(OR(ISBLANK(AA5),AA5=0),NA(),IF(AA5&gt;0,100/(AA5+100),-(AA5)/(-(AA5)+100)))))</f>
        <v/>
      </c>
      <c r="AO5">
        <f>IF(AN5&lt;=0,"PASS",IF(AN5&lt;0.02,"PASS",IF(AN5&lt;0.04,"LEAN",IF(AN5&lt;0.07,"SMALL",IF(AN5&lt;0.10,"MEDIUM","STRONG")))))</f>
        <v/>
      </c>
      <c r="AP5" s="4">
        <f>IF(AN5&lt;0.01,1,IF(AN5&lt;0.02,2,IF(AN5&lt;0.03,3,IF(AN5&lt;0.04,4,IF(AN5&lt;0.05,5,IF(AN5&lt;0.06,6,IF(AN5&lt;0.07,7,IF(AN5&lt;0.08,8,IF(AN5&lt;0.10,9,10)))))))))</f>
        <v/>
      </c>
      <c r="AQ5" s="7">
        <f>IF(AM5=H5,(V5)*(IF(AB5&gt;0,AB5/100,100/ABS(AB5)))-(1-(V5)),(U5)*(IF(AA5&gt;0,AA5/100,100/ABS(AA5)))-(1-(U5)))</f>
        <v/>
      </c>
      <c r="AR5" s="6">
        <f>'Bets'!S5</f>
        <v/>
      </c>
      <c r="AS5" s="10">
        <f>IF(OR(ISBLANK('Bets'!W5),ISBLANK('Bets'!Y5)),16,('Bets'!Y5-'Bets'!W5)/(2.56310313109))</f>
        <v/>
      </c>
      <c r="AT5" s="6">
        <f>IF(OR(ISNA(P5),ISNA(O5)),NA(),(P5)*(AR5)+(1-(P5))*(O5))</f>
        <v/>
      </c>
      <c r="AU5" s="10">
        <f>IF(OR(ISNA(P5),ISBLANK(AS5)),NA(),(AS5)*SQRT(P5))</f>
        <v/>
      </c>
      <c r="AV5" s="7">
        <f>IF(OR(ISNA(AU5),AU5&lt;=0,ISBLANK(AC5)),NA(),1-NORMSDIST(((AC5)-(AT5))/(AU5)))</f>
        <v/>
      </c>
      <c r="AW5" s="7">
        <f>IF(ISNA(AV5),NA(),1-(AV5))</f>
        <v/>
      </c>
      <c r="AX5">
        <f>IF(BI5&gt;=BJ5,"OVER","UNDER")</f>
        <v/>
      </c>
      <c r="AY5" s="7">
        <f>MAX(0,BI5,BJ5)</f>
        <v/>
      </c>
      <c r="AZ5">
        <f>IF(AY5&lt;=0,"PASS",IF(AY5&lt;0.02,"PASS",IF(AY5&lt;0.04,"LEAN",IF(AY5&lt;0.07,"SMALL",IF(AY5&lt;0.10,"MEDIUM","STRONG")))))</f>
        <v/>
      </c>
      <c r="BA5" s="4">
        <f>IF(AY5&lt;0.01,1,IF(AY5&lt;0.02,2,IF(AY5&lt;0.03,3,IF(AY5&lt;0.04,4,IF(AY5&lt;0.05,5,IF(AY5&lt;0.06,6,IF(AY5&lt;0.07,7,IF(AY5&lt;0.08,8,IF(AY5&lt;0.10,9,10)))))))))</f>
        <v/>
      </c>
      <c r="BB5" s="7">
        <f>IF(AX5="OVER",(AV5)*(IF(AD5&gt;0,AD5/100,100/ABS(AD5)))-(1-(AV5)),(AW5)*(IF(AE5&gt;0,AE5/100,100/ABS(AE5)))-(1-(AW5)))</f>
        <v/>
      </c>
      <c r="BC5" s="7">
        <f>IF(OR(ISBLANK(X5),X5=0),NA(),IF(X5&gt;0,100/(X5+100),-(X5)/(-(X5)+100)))</f>
        <v/>
      </c>
      <c r="BD5" s="7">
        <f>IF(OR(ISBLANK(Z5),Z5=0),NA(),IF(Z5&gt;0,100/(Z5+100),-(Z5)/(-(Z5)+100)))</f>
        <v/>
      </c>
      <c r="BE5" s="7">
        <f>AF5-BC5</f>
        <v/>
      </c>
      <c r="BF5" s="7">
        <f>AG5-BD5</f>
        <v/>
      </c>
      <c r="BG5" s="7">
        <f>IF(OR(ISBLANK(AD5),AD5=0),NA(),IF(AD5&gt;0,100/(AD5+100),-(AD5)/(-(AD5)+100)))</f>
        <v/>
      </c>
      <c r="BH5" s="7">
        <f>IF(OR(ISBLANK(AE5),AE5=0),NA(),IF(AE5&gt;0,100/(AE5+100),-(AE5)/(-(AE5)+100)))</f>
        <v/>
      </c>
      <c r="BI5" s="7">
        <f>AV5-BG5</f>
        <v/>
      </c>
      <c r="BJ5" s="7">
        <f>AW5-BH5</f>
        <v/>
      </c>
    </row>
    <row r="6">
      <c r="A6" s="4">
        <f>'Bets'!A6</f>
        <v/>
      </c>
      <c r="B6" s="4">
        <f>'Bets'!B6</f>
        <v/>
      </c>
      <c r="C6">
        <f>'Bets'!C6</f>
        <v/>
      </c>
      <c r="D6">
        <f>'Bets'!D6</f>
        <v/>
      </c>
      <c r="E6" s="5">
        <f>'Bets'!E6</f>
        <v/>
      </c>
      <c r="F6">
        <f>'Bets'!F6</f>
        <v/>
      </c>
      <c r="G6">
        <f>'Bets'!G6</f>
        <v/>
      </c>
      <c r="H6">
        <f>'Bets'!H6</f>
        <v/>
      </c>
      <c r="I6" s="9" t="n">
        <v>1</v>
      </c>
      <c r="J6" s="9" t="n">
        <v>15</v>
      </c>
      <c r="K6" s="4">
        <f>IF(OR(ISBLANK(I6),ISBLANK(J6)),NA(),MAX(0,MIN(60,(4-(I6))*15+(J6))))</f>
        <v/>
      </c>
      <c r="L6" s="9" t="n">
        <v>0</v>
      </c>
      <c r="M6" s="9" t="n">
        <v>0</v>
      </c>
      <c r="N6" s="6">
        <f>IF(OR(ISBLANK(M6),ISBLANK(L6)),NA(),M6-L6)</f>
        <v/>
      </c>
      <c r="O6" s="6">
        <f>IF(OR(ISBLANK(M6),ISBLANK(L6)),NA(),M6+L6)</f>
        <v/>
      </c>
      <c r="P6" s="7">
        <f>IF(ISBLANK(K6),NA(),MAX(0,MIN(1,K6/60)))</f>
        <v/>
      </c>
      <c r="Q6" s="6">
        <f>'Bets'!R6</f>
        <v/>
      </c>
      <c r="R6" s="10">
        <f>IF(OR(ISBLANK('Bets'!T6),ISBLANK('Bets'!V6)),13,('Bets'!V6-'Bets'!T6)/(2.56310313109))</f>
        <v/>
      </c>
      <c r="S6" s="6">
        <f>IF(OR(ISNA(P6),ISNA(N6)),NA(),(P6)*(Q6)+(1-(P6))*(N6))</f>
        <v/>
      </c>
      <c r="T6" s="10">
        <f>IF(OR(ISNA(P6),ISBLANK(R6)),NA(),(R6)*SQRT(P6))</f>
        <v/>
      </c>
      <c r="U6" s="7">
        <f>IF(ISNA(V6),NA(),1-(V6))</f>
        <v/>
      </c>
      <c r="V6" s="7">
        <f>IF(ISNA(P6),NA(),IF(P6&gt;=0.999999,'Bets'!O6,IF(OR(ISNA(T6),T6&lt;=0),NA(),1-NORMSDIST((0-(S6))/(T6)))))</f>
        <v/>
      </c>
      <c r="W6" s="8" t="n">
        <v>-1.5</v>
      </c>
      <c r="X6" s="9" t="n">
        <v>-110</v>
      </c>
      <c r="Y6" s="8">
        <f>-W6</f>
        <v/>
      </c>
      <c r="Z6" s="9" t="n">
        <v>-110</v>
      </c>
      <c r="AA6" s="9" t="n">
        <v>-118</v>
      </c>
      <c r="AB6" s="9" t="n">
        <v>-102</v>
      </c>
      <c r="AC6" s="8" t="n">
        <v>44.5</v>
      </c>
      <c r="AD6" s="9" t="n">
        <v>-110</v>
      </c>
      <c r="AE6" s="9" t="n">
        <v>-110</v>
      </c>
      <c r="AF6" s="7">
        <f>IF(OR(ISNA(T6),T6&lt;=0,ISBLANK(W6)),NA(),NORMSDIST(((W6)-(S6))/(T6)))</f>
        <v/>
      </c>
      <c r="AG6" s="7">
        <f>IF(OR(ISNA(T6),T6&lt;=0,ISBLANK(Y6)),NA(),1-NORMSDIST(((-Y6)-(S6))/(T6)))</f>
        <v/>
      </c>
      <c r="AH6">
        <f>IF(BF6&gt;=BE6,H6,G6)</f>
        <v/>
      </c>
      <c r="AI6" s="7">
        <f>MAX(0,BF6,BE6)</f>
        <v/>
      </c>
      <c r="AJ6">
        <f>IF(AI6&lt;=0,"PASS",IF(AI6&lt;0.02,"PASS",IF(AI6&lt;0.04,"LEAN",IF(AI6&lt;0.07,"SMALL",IF(AI6&lt;0.10,"MEDIUM","STRONG")))))</f>
        <v/>
      </c>
      <c r="AK6" s="4">
        <f>IF(AI6&lt;0.01,1,IF(AI6&lt;0.02,2,IF(AI6&lt;0.03,3,IF(AI6&lt;0.04,4,IF(AI6&lt;0.05,5,IF(AI6&lt;0.06,6,IF(AI6&lt;0.07,7,IF(AI6&lt;0.08,8,IF(AI6&lt;0.10,9,10)))))))))</f>
        <v/>
      </c>
      <c r="AL6" s="7">
        <f>IF(AH6=H6,(AG6)*(IF(Z6&gt;0,Z6/100,100/ABS(Z6)))-(1-(AG6)),(AF6)*(IF(X6&gt;0,X6/100,100/ABS(X6)))-(1-(AF6)))</f>
        <v/>
      </c>
      <c r="AM6">
        <f>IF((V6)-(IF(OR(ISBLANK(AB6),AB6=0),NA(),IF(AB6&gt;0,100/(AB6+100),-(AB6)/(-(AB6)+100))))&gt;=(U6)-(IF(OR(ISBLANK(AA6),AA6=0),NA(),IF(AA6&gt;0,100/(AA6+100),-(AA6)/(-(AA6)+100)))),H6,G6)</f>
        <v/>
      </c>
      <c r="AN6" s="7">
        <f>MAX(0,(V6)-(IF(OR(ISBLANK(AB6),AB6=0),NA(),IF(AB6&gt;0,100/(AB6+100),-(AB6)/(-(AB6)+100)))),(U6)-(IF(OR(ISBLANK(AA6),AA6=0),NA(),IF(AA6&gt;0,100/(AA6+100),-(AA6)/(-(AA6)+100)))))</f>
        <v/>
      </c>
      <c r="AO6">
        <f>IF(AN6&lt;=0,"PASS",IF(AN6&lt;0.02,"PASS",IF(AN6&lt;0.04,"LEAN",IF(AN6&lt;0.07,"SMALL",IF(AN6&lt;0.10,"MEDIUM","STRONG")))))</f>
        <v/>
      </c>
      <c r="AP6" s="4">
        <f>IF(AN6&lt;0.01,1,IF(AN6&lt;0.02,2,IF(AN6&lt;0.03,3,IF(AN6&lt;0.04,4,IF(AN6&lt;0.05,5,IF(AN6&lt;0.06,6,IF(AN6&lt;0.07,7,IF(AN6&lt;0.08,8,IF(AN6&lt;0.10,9,10)))))))))</f>
        <v/>
      </c>
      <c r="AQ6" s="7">
        <f>IF(AM6=H6,(V6)*(IF(AB6&gt;0,AB6/100,100/ABS(AB6)))-(1-(V6)),(U6)*(IF(AA6&gt;0,AA6/100,100/ABS(AA6)))-(1-(U6)))</f>
        <v/>
      </c>
      <c r="AR6" s="6">
        <f>'Bets'!S6</f>
        <v/>
      </c>
      <c r="AS6" s="10">
        <f>IF(OR(ISBLANK('Bets'!W6),ISBLANK('Bets'!Y6)),16,('Bets'!Y6-'Bets'!W6)/(2.56310313109))</f>
        <v/>
      </c>
      <c r="AT6" s="6">
        <f>IF(OR(ISNA(P6),ISNA(O6)),NA(),(P6)*(AR6)+(1-(P6))*(O6))</f>
        <v/>
      </c>
      <c r="AU6" s="10">
        <f>IF(OR(ISNA(P6),ISBLANK(AS6)),NA(),(AS6)*SQRT(P6))</f>
        <v/>
      </c>
      <c r="AV6" s="7">
        <f>IF(OR(ISNA(AU6),AU6&lt;=0,ISBLANK(AC6)),NA(),1-NORMSDIST(((AC6)-(AT6))/(AU6)))</f>
        <v/>
      </c>
      <c r="AW6" s="7">
        <f>IF(ISNA(AV6),NA(),1-(AV6))</f>
        <v/>
      </c>
      <c r="AX6">
        <f>IF(BI6&gt;=BJ6,"OVER","UNDER")</f>
        <v/>
      </c>
      <c r="AY6" s="7">
        <f>MAX(0,BI6,BJ6)</f>
        <v/>
      </c>
      <c r="AZ6">
        <f>IF(AY6&lt;=0,"PASS",IF(AY6&lt;0.02,"PASS",IF(AY6&lt;0.04,"LEAN",IF(AY6&lt;0.07,"SMALL",IF(AY6&lt;0.10,"MEDIUM","STRONG")))))</f>
        <v/>
      </c>
      <c r="BA6" s="4">
        <f>IF(AY6&lt;0.01,1,IF(AY6&lt;0.02,2,IF(AY6&lt;0.03,3,IF(AY6&lt;0.04,4,IF(AY6&lt;0.05,5,IF(AY6&lt;0.06,6,IF(AY6&lt;0.07,7,IF(AY6&lt;0.08,8,IF(AY6&lt;0.10,9,10)))))))))</f>
        <v/>
      </c>
      <c r="BB6" s="7">
        <f>IF(AX6="OVER",(AV6)*(IF(AD6&gt;0,AD6/100,100/ABS(AD6)))-(1-(AV6)),(AW6)*(IF(AE6&gt;0,AE6/100,100/ABS(AE6)))-(1-(AW6)))</f>
        <v/>
      </c>
      <c r="BC6" s="7">
        <f>IF(OR(ISBLANK(X6),X6=0),NA(),IF(X6&gt;0,100/(X6+100),-(X6)/(-(X6)+100)))</f>
        <v/>
      </c>
      <c r="BD6" s="7">
        <f>IF(OR(ISBLANK(Z6),Z6=0),NA(),IF(Z6&gt;0,100/(Z6+100),-(Z6)/(-(Z6)+100)))</f>
        <v/>
      </c>
      <c r="BE6" s="7">
        <f>AF6-BC6</f>
        <v/>
      </c>
      <c r="BF6" s="7">
        <f>AG6-BD6</f>
        <v/>
      </c>
      <c r="BG6" s="7">
        <f>IF(OR(ISBLANK(AD6),AD6=0),NA(),IF(AD6&gt;0,100/(AD6+100),-(AD6)/(-(AD6)+100)))</f>
        <v/>
      </c>
      <c r="BH6" s="7">
        <f>IF(OR(ISBLANK(AE6),AE6=0),NA(),IF(AE6&gt;0,100/(AE6+100),-(AE6)/(-(AE6)+100)))</f>
        <v/>
      </c>
      <c r="BI6" s="7">
        <f>AV6-BG6</f>
        <v/>
      </c>
      <c r="BJ6" s="7">
        <f>AW6-BH6</f>
        <v/>
      </c>
    </row>
    <row r="7">
      <c r="A7" s="4">
        <f>'Bets'!A7</f>
        <v/>
      </c>
      <c r="B7" s="4">
        <f>'Bets'!B7</f>
        <v/>
      </c>
      <c r="C7">
        <f>'Bets'!C7</f>
        <v/>
      </c>
      <c r="D7">
        <f>'Bets'!D7</f>
        <v/>
      </c>
      <c r="E7" s="5">
        <f>'Bets'!E7</f>
        <v/>
      </c>
      <c r="F7">
        <f>'Bets'!F7</f>
        <v/>
      </c>
      <c r="G7">
        <f>'Bets'!G7</f>
        <v/>
      </c>
      <c r="H7">
        <f>'Bets'!H7</f>
        <v/>
      </c>
      <c r="I7" s="9" t="n">
        <v>1</v>
      </c>
      <c r="J7" s="9" t="n">
        <v>15</v>
      </c>
      <c r="K7" s="4">
        <f>IF(OR(ISBLANK(I7),ISBLANK(J7)),NA(),MAX(0,MIN(60,(4-(I7))*15+(J7))))</f>
        <v/>
      </c>
      <c r="L7" s="9" t="n">
        <v>0</v>
      </c>
      <c r="M7" s="9" t="n">
        <v>0</v>
      </c>
      <c r="N7" s="6">
        <f>IF(OR(ISBLANK(M7),ISBLANK(L7)),NA(),M7-L7)</f>
        <v/>
      </c>
      <c r="O7" s="6">
        <f>IF(OR(ISBLANK(M7),ISBLANK(L7)),NA(),M7+L7)</f>
        <v/>
      </c>
      <c r="P7" s="7">
        <f>IF(ISBLANK(K7),NA(),MAX(0,MIN(1,K7/60)))</f>
        <v/>
      </c>
      <c r="Q7" s="6">
        <f>'Bets'!R7</f>
        <v/>
      </c>
      <c r="R7" s="10">
        <f>IF(OR(ISBLANK('Bets'!T7),ISBLANK('Bets'!V7)),13,('Bets'!V7-'Bets'!T7)/(2.56310313109))</f>
        <v/>
      </c>
      <c r="S7" s="6">
        <f>IF(OR(ISNA(P7),ISNA(N7)),NA(),(P7)*(Q7)+(1-(P7))*(N7))</f>
        <v/>
      </c>
      <c r="T7" s="10">
        <f>IF(OR(ISNA(P7),ISBLANK(R7)),NA(),(R7)*SQRT(P7))</f>
        <v/>
      </c>
      <c r="U7" s="7">
        <f>IF(ISNA(V7),NA(),1-(V7))</f>
        <v/>
      </c>
      <c r="V7" s="7">
        <f>IF(ISNA(P7),NA(),IF(P7&gt;=0.999999,'Bets'!O7,IF(OR(ISNA(T7),T7&lt;=0),NA(),1-NORMSDIST((0-(S7))/(T7)))))</f>
        <v/>
      </c>
      <c r="W7" s="8" t="n">
        <v>-3</v>
      </c>
      <c r="X7" s="9" t="n">
        <v>-110</v>
      </c>
      <c r="Y7" s="8">
        <f>-W7</f>
        <v/>
      </c>
      <c r="Z7" s="9" t="n">
        <v>-110</v>
      </c>
      <c r="AA7" s="9" t="n">
        <v>-162</v>
      </c>
      <c r="AB7" s="9" t="n">
        <v>136</v>
      </c>
      <c r="AC7" s="8" t="n">
        <v>46.5</v>
      </c>
      <c r="AD7" s="9" t="n">
        <v>-110</v>
      </c>
      <c r="AE7" s="9" t="n">
        <v>-110</v>
      </c>
      <c r="AF7" s="7">
        <f>IF(OR(ISNA(T7),T7&lt;=0,ISBLANK(W7)),NA(),NORMSDIST(((W7)-(S7))/(T7)))</f>
        <v/>
      </c>
      <c r="AG7" s="7">
        <f>IF(OR(ISNA(T7),T7&lt;=0,ISBLANK(Y7)),NA(),1-NORMSDIST(((-Y7)-(S7))/(T7)))</f>
        <v/>
      </c>
      <c r="AH7">
        <f>IF(BF7&gt;=BE7,H7,G7)</f>
        <v/>
      </c>
      <c r="AI7" s="7">
        <f>MAX(0,BF7,BE7)</f>
        <v/>
      </c>
      <c r="AJ7">
        <f>IF(AI7&lt;=0,"PASS",IF(AI7&lt;0.02,"PASS",IF(AI7&lt;0.04,"LEAN",IF(AI7&lt;0.07,"SMALL",IF(AI7&lt;0.10,"MEDIUM","STRONG")))))</f>
        <v/>
      </c>
      <c r="AK7" s="4">
        <f>IF(AI7&lt;0.01,1,IF(AI7&lt;0.02,2,IF(AI7&lt;0.03,3,IF(AI7&lt;0.04,4,IF(AI7&lt;0.05,5,IF(AI7&lt;0.06,6,IF(AI7&lt;0.07,7,IF(AI7&lt;0.08,8,IF(AI7&lt;0.10,9,10)))))))))</f>
        <v/>
      </c>
      <c r="AL7" s="7">
        <f>IF(AH7=H7,(AG7)*(IF(Z7&gt;0,Z7/100,100/ABS(Z7)))-(1-(AG7)),(AF7)*(IF(X7&gt;0,X7/100,100/ABS(X7)))-(1-(AF7)))</f>
        <v/>
      </c>
      <c r="AM7">
        <f>IF((V7)-(IF(OR(ISBLANK(AB7),AB7=0),NA(),IF(AB7&gt;0,100/(AB7+100),-(AB7)/(-(AB7)+100))))&gt;=(U7)-(IF(OR(ISBLANK(AA7),AA7=0),NA(),IF(AA7&gt;0,100/(AA7+100),-(AA7)/(-(AA7)+100)))),H7,G7)</f>
        <v/>
      </c>
      <c r="AN7" s="7">
        <f>MAX(0,(V7)-(IF(OR(ISBLANK(AB7),AB7=0),NA(),IF(AB7&gt;0,100/(AB7+100),-(AB7)/(-(AB7)+100)))),(U7)-(IF(OR(ISBLANK(AA7),AA7=0),NA(),IF(AA7&gt;0,100/(AA7+100),-(AA7)/(-(AA7)+100)))))</f>
        <v/>
      </c>
      <c r="AO7">
        <f>IF(AN7&lt;=0,"PASS",IF(AN7&lt;0.02,"PASS",IF(AN7&lt;0.04,"LEAN",IF(AN7&lt;0.07,"SMALL",IF(AN7&lt;0.10,"MEDIUM","STRONG")))))</f>
        <v/>
      </c>
      <c r="AP7" s="4">
        <f>IF(AN7&lt;0.01,1,IF(AN7&lt;0.02,2,IF(AN7&lt;0.03,3,IF(AN7&lt;0.04,4,IF(AN7&lt;0.05,5,IF(AN7&lt;0.06,6,IF(AN7&lt;0.07,7,IF(AN7&lt;0.08,8,IF(AN7&lt;0.10,9,10)))))))))</f>
        <v/>
      </c>
      <c r="AQ7" s="7">
        <f>IF(AM7=H7,(V7)*(IF(AB7&gt;0,AB7/100,100/ABS(AB7)))-(1-(V7)),(U7)*(IF(AA7&gt;0,AA7/100,100/ABS(AA7)))-(1-(U7)))</f>
        <v/>
      </c>
      <c r="AR7" s="6">
        <f>'Bets'!S7</f>
        <v/>
      </c>
      <c r="AS7" s="10">
        <f>IF(OR(ISBLANK('Bets'!W7),ISBLANK('Bets'!Y7)),16,('Bets'!Y7-'Bets'!W7)/(2.56310313109))</f>
        <v/>
      </c>
      <c r="AT7" s="6">
        <f>IF(OR(ISNA(P7),ISNA(O7)),NA(),(P7)*(AR7)+(1-(P7))*(O7))</f>
        <v/>
      </c>
      <c r="AU7" s="10">
        <f>IF(OR(ISNA(P7),ISBLANK(AS7)),NA(),(AS7)*SQRT(P7))</f>
        <v/>
      </c>
      <c r="AV7" s="7">
        <f>IF(OR(ISNA(AU7),AU7&lt;=0,ISBLANK(AC7)),NA(),1-NORMSDIST(((AC7)-(AT7))/(AU7)))</f>
        <v/>
      </c>
      <c r="AW7" s="7">
        <f>IF(ISNA(AV7),NA(),1-(AV7))</f>
        <v/>
      </c>
      <c r="AX7">
        <f>IF(BI7&gt;=BJ7,"OVER","UNDER")</f>
        <v/>
      </c>
      <c r="AY7" s="7">
        <f>MAX(0,BI7,BJ7)</f>
        <v/>
      </c>
      <c r="AZ7">
        <f>IF(AY7&lt;=0,"PASS",IF(AY7&lt;0.02,"PASS",IF(AY7&lt;0.04,"LEAN",IF(AY7&lt;0.07,"SMALL",IF(AY7&lt;0.10,"MEDIUM","STRONG")))))</f>
        <v/>
      </c>
      <c r="BA7" s="4">
        <f>IF(AY7&lt;0.01,1,IF(AY7&lt;0.02,2,IF(AY7&lt;0.03,3,IF(AY7&lt;0.04,4,IF(AY7&lt;0.05,5,IF(AY7&lt;0.06,6,IF(AY7&lt;0.07,7,IF(AY7&lt;0.08,8,IF(AY7&lt;0.10,9,10)))))))))</f>
        <v/>
      </c>
      <c r="BB7" s="7">
        <f>IF(AX7="OVER",(AV7)*(IF(AD7&gt;0,AD7/100,100/ABS(AD7)))-(1-(AV7)),(AW7)*(IF(AE7&gt;0,AE7/100,100/ABS(AE7)))-(1-(AW7)))</f>
        <v/>
      </c>
      <c r="BC7" s="7">
        <f>IF(OR(ISBLANK(X7),X7=0),NA(),IF(X7&gt;0,100/(X7+100),-(X7)/(-(X7)+100)))</f>
        <v/>
      </c>
      <c r="BD7" s="7">
        <f>IF(OR(ISBLANK(Z7),Z7=0),NA(),IF(Z7&gt;0,100/(Z7+100),-(Z7)/(-(Z7)+100)))</f>
        <v/>
      </c>
      <c r="BE7" s="7">
        <f>AF7-BC7</f>
        <v/>
      </c>
      <c r="BF7" s="7">
        <f>AG7-BD7</f>
        <v/>
      </c>
      <c r="BG7" s="7">
        <f>IF(OR(ISBLANK(AD7),AD7=0),NA(),IF(AD7&gt;0,100/(AD7+100),-(AD7)/(-(AD7)+100)))</f>
        <v/>
      </c>
      <c r="BH7" s="7">
        <f>IF(OR(ISBLANK(AE7),AE7=0),NA(),IF(AE7&gt;0,100/(AE7+100),-(AE7)/(-(AE7)+100)))</f>
        <v/>
      </c>
      <c r="BI7" s="7">
        <f>AV7-BG7</f>
        <v/>
      </c>
      <c r="BJ7" s="7">
        <f>AW7-BH7</f>
        <v/>
      </c>
    </row>
    <row r="8">
      <c r="A8" s="4">
        <f>'Bets'!A8</f>
        <v/>
      </c>
      <c r="B8" s="4">
        <f>'Bets'!B8</f>
        <v/>
      </c>
      <c r="C8">
        <f>'Bets'!C8</f>
        <v/>
      </c>
      <c r="D8">
        <f>'Bets'!D8</f>
        <v/>
      </c>
      <c r="E8" s="5">
        <f>'Bets'!E8</f>
        <v/>
      </c>
      <c r="F8">
        <f>'Bets'!F8</f>
        <v/>
      </c>
      <c r="G8">
        <f>'Bets'!G8</f>
        <v/>
      </c>
      <c r="H8">
        <f>'Bets'!H8</f>
        <v/>
      </c>
      <c r="I8" s="9" t="n">
        <v>1</v>
      </c>
      <c r="J8" s="9" t="n">
        <v>15</v>
      </c>
      <c r="K8" s="4">
        <f>IF(OR(ISBLANK(I8),ISBLANK(J8)),NA(),MAX(0,MIN(60,(4-(I8))*15+(J8))))</f>
        <v/>
      </c>
      <c r="L8" s="9" t="n">
        <v>0</v>
      </c>
      <c r="M8" s="9" t="n">
        <v>0</v>
      </c>
      <c r="N8" s="6">
        <f>IF(OR(ISBLANK(M8),ISBLANK(L8)),NA(),M8-L8)</f>
        <v/>
      </c>
      <c r="O8" s="6">
        <f>IF(OR(ISBLANK(M8),ISBLANK(L8)),NA(),M8+L8)</f>
        <v/>
      </c>
      <c r="P8" s="7">
        <f>IF(ISBLANK(K8),NA(),MAX(0,MIN(1,K8/60)))</f>
        <v/>
      </c>
      <c r="Q8" s="6">
        <f>'Bets'!R8</f>
        <v/>
      </c>
      <c r="R8" s="10">
        <f>IF(OR(ISBLANK('Bets'!T8),ISBLANK('Bets'!V8)),13,('Bets'!V8-'Bets'!T8)/(2.56310313109))</f>
        <v/>
      </c>
      <c r="S8" s="6">
        <f>IF(OR(ISNA(P8),ISNA(N8)),NA(),(P8)*(Q8)+(1-(P8))*(N8))</f>
        <v/>
      </c>
      <c r="T8" s="10">
        <f>IF(OR(ISNA(P8),ISBLANK(R8)),NA(),(R8)*SQRT(P8))</f>
        <v/>
      </c>
      <c r="U8" s="7">
        <f>IF(ISNA(V8),NA(),1-(V8))</f>
        <v/>
      </c>
      <c r="V8" s="7">
        <f>IF(ISNA(P8),NA(),IF(P8&gt;=0.999999,'Bets'!O8,IF(OR(ISNA(T8),T8&lt;=0),NA(),1-NORMSDIST((0-(S8))/(T8)))))</f>
        <v/>
      </c>
      <c r="W8" s="8" t="n">
        <v>8.5</v>
      </c>
      <c r="X8" s="9" t="n">
        <v>-110</v>
      </c>
      <c r="Y8" s="8">
        <f>-W8</f>
        <v/>
      </c>
      <c r="Z8" s="9" t="n">
        <v>-110</v>
      </c>
      <c r="AA8" s="9" t="n">
        <v>360</v>
      </c>
      <c r="AB8" s="9" t="n">
        <v>-470</v>
      </c>
      <c r="AC8" s="8" t="n">
        <v>40.5</v>
      </c>
      <c r="AD8" s="9" t="n">
        <v>-110</v>
      </c>
      <c r="AE8" s="9" t="n">
        <v>-110</v>
      </c>
      <c r="AF8" s="7">
        <f>IF(OR(ISNA(T8),T8&lt;=0,ISBLANK(W8)),NA(),NORMSDIST(((W8)-(S8))/(T8)))</f>
        <v/>
      </c>
      <c r="AG8" s="7">
        <f>IF(OR(ISNA(T8),T8&lt;=0,ISBLANK(Y8)),NA(),1-NORMSDIST(((-Y8)-(S8))/(T8)))</f>
        <v/>
      </c>
      <c r="AH8">
        <f>IF(BF8&gt;=BE8,H8,G8)</f>
        <v/>
      </c>
      <c r="AI8" s="7">
        <f>MAX(0,BF8,BE8)</f>
        <v/>
      </c>
      <c r="AJ8">
        <f>IF(AI8&lt;=0,"PASS",IF(AI8&lt;0.02,"PASS",IF(AI8&lt;0.04,"LEAN",IF(AI8&lt;0.07,"SMALL",IF(AI8&lt;0.10,"MEDIUM","STRONG")))))</f>
        <v/>
      </c>
      <c r="AK8" s="4">
        <f>IF(AI8&lt;0.01,1,IF(AI8&lt;0.02,2,IF(AI8&lt;0.03,3,IF(AI8&lt;0.04,4,IF(AI8&lt;0.05,5,IF(AI8&lt;0.06,6,IF(AI8&lt;0.07,7,IF(AI8&lt;0.08,8,IF(AI8&lt;0.10,9,10)))))))))</f>
        <v/>
      </c>
      <c r="AL8" s="7">
        <f>IF(AH8=H8,(AG8)*(IF(Z8&gt;0,Z8/100,100/ABS(Z8)))-(1-(AG8)),(AF8)*(IF(X8&gt;0,X8/100,100/ABS(X8)))-(1-(AF8)))</f>
        <v/>
      </c>
      <c r="AM8">
        <f>IF((V8)-(IF(OR(ISBLANK(AB8),AB8=0),NA(),IF(AB8&gt;0,100/(AB8+100),-(AB8)/(-(AB8)+100))))&gt;=(U8)-(IF(OR(ISBLANK(AA8),AA8=0),NA(),IF(AA8&gt;0,100/(AA8+100),-(AA8)/(-(AA8)+100)))),H8,G8)</f>
        <v/>
      </c>
      <c r="AN8" s="7">
        <f>MAX(0,(V8)-(IF(OR(ISBLANK(AB8),AB8=0),NA(),IF(AB8&gt;0,100/(AB8+100),-(AB8)/(-(AB8)+100)))),(U8)-(IF(OR(ISBLANK(AA8),AA8=0),NA(),IF(AA8&gt;0,100/(AA8+100),-(AA8)/(-(AA8)+100)))))</f>
        <v/>
      </c>
      <c r="AO8">
        <f>IF(AN8&lt;=0,"PASS",IF(AN8&lt;0.02,"PASS",IF(AN8&lt;0.04,"LEAN",IF(AN8&lt;0.07,"SMALL",IF(AN8&lt;0.10,"MEDIUM","STRONG")))))</f>
        <v/>
      </c>
      <c r="AP8" s="4">
        <f>IF(AN8&lt;0.01,1,IF(AN8&lt;0.02,2,IF(AN8&lt;0.03,3,IF(AN8&lt;0.04,4,IF(AN8&lt;0.05,5,IF(AN8&lt;0.06,6,IF(AN8&lt;0.07,7,IF(AN8&lt;0.08,8,IF(AN8&lt;0.10,9,10)))))))))</f>
        <v/>
      </c>
      <c r="AQ8" s="7">
        <f>IF(AM8=H8,(V8)*(IF(AB8&gt;0,AB8/100,100/ABS(AB8)))-(1-(V8)),(U8)*(IF(AA8&gt;0,AA8/100,100/ABS(AA8)))-(1-(U8)))</f>
        <v/>
      </c>
      <c r="AR8" s="6">
        <f>'Bets'!S8</f>
        <v/>
      </c>
      <c r="AS8" s="10">
        <f>IF(OR(ISBLANK('Bets'!W8),ISBLANK('Bets'!Y8)),16,('Bets'!Y8-'Bets'!W8)/(2.56310313109))</f>
        <v/>
      </c>
      <c r="AT8" s="6">
        <f>IF(OR(ISNA(P8),ISNA(O8)),NA(),(P8)*(AR8)+(1-(P8))*(O8))</f>
        <v/>
      </c>
      <c r="AU8" s="10">
        <f>IF(OR(ISNA(P8),ISBLANK(AS8)),NA(),(AS8)*SQRT(P8))</f>
        <v/>
      </c>
      <c r="AV8" s="7">
        <f>IF(OR(ISNA(AU8),AU8&lt;=0,ISBLANK(AC8)),NA(),1-NORMSDIST(((AC8)-(AT8))/(AU8)))</f>
        <v/>
      </c>
      <c r="AW8" s="7">
        <f>IF(ISNA(AV8),NA(),1-(AV8))</f>
        <v/>
      </c>
      <c r="AX8">
        <f>IF(BI8&gt;=BJ8,"OVER","UNDER")</f>
        <v/>
      </c>
      <c r="AY8" s="7">
        <f>MAX(0,BI8,BJ8)</f>
        <v/>
      </c>
      <c r="AZ8">
        <f>IF(AY8&lt;=0,"PASS",IF(AY8&lt;0.02,"PASS",IF(AY8&lt;0.04,"LEAN",IF(AY8&lt;0.07,"SMALL",IF(AY8&lt;0.10,"MEDIUM","STRONG")))))</f>
        <v/>
      </c>
      <c r="BA8" s="4">
        <f>IF(AY8&lt;0.01,1,IF(AY8&lt;0.02,2,IF(AY8&lt;0.03,3,IF(AY8&lt;0.04,4,IF(AY8&lt;0.05,5,IF(AY8&lt;0.06,6,IF(AY8&lt;0.07,7,IF(AY8&lt;0.08,8,IF(AY8&lt;0.10,9,10)))))))))</f>
        <v/>
      </c>
      <c r="BB8" s="7">
        <f>IF(AX8="OVER",(AV8)*(IF(AD8&gt;0,AD8/100,100/ABS(AD8)))-(1-(AV8)),(AW8)*(IF(AE8&gt;0,AE8/100,100/ABS(AE8)))-(1-(AW8)))</f>
        <v/>
      </c>
      <c r="BC8" s="7">
        <f>IF(OR(ISBLANK(X8),X8=0),NA(),IF(X8&gt;0,100/(X8+100),-(X8)/(-(X8)+100)))</f>
        <v/>
      </c>
      <c r="BD8" s="7">
        <f>IF(OR(ISBLANK(Z8),Z8=0),NA(),IF(Z8&gt;0,100/(Z8+100),-(Z8)/(-(Z8)+100)))</f>
        <v/>
      </c>
      <c r="BE8" s="7">
        <f>AF8-BC8</f>
        <v/>
      </c>
      <c r="BF8" s="7">
        <f>AG8-BD8</f>
        <v/>
      </c>
      <c r="BG8" s="7">
        <f>IF(OR(ISBLANK(AD8),AD8=0),NA(),IF(AD8&gt;0,100/(AD8+100),-(AD8)/(-(AD8)+100)))</f>
        <v/>
      </c>
      <c r="BH8" s="7">
        <f>IF(OR(ISBLANK(AE8),AE8=0),NA(),IF(AE8&gt;0,100/(AE8+100),-(AE8)/(-(AE8)+100)))</f>
        <v/>
      </c>
      <c r="BI8" s="7">
        <f>AV8-BG8</f>
        <v/>
      </c>
      <c r="BJ8" s="7">
        <f>AW8-BH8</f>
        <v/>
      </c>
    </row>
    <row r="9">
      <c r="A9" s="4">
        <f>'Bets'!A9</f>
        <v/>
      </c>
      <c r="B9" s="4">
        <f>'Bets'!B9</f>
        <v/>
      </c>
      <c r="C9">
        <f>'Bets'!C9</f>
        <v/>
      </c>
      <c r="D9">
        <f>'Bets'!D9</f>
        <v/>
      </c>
      <c r="E9" s="5">
        <f>'Bets'!E9</f>
        <v/>
      </c>
      <c r="F9">
        <f>'Bets'!F9</f>
        <v/>
      </c>
      <c r="G9">
        <f>'Bets'!G9</f>
        <v/>
      </c>
      <c r="H9">
        <f>'Bets'!H9</f>
        <v/>
      </c>
      <c r="I9" s="9" t="n">
        <v>1</v>
      </c>
      <c r="J9" s="9" t="n">
        <v>15</v>
      </c>
      <c r="K9" s="4">
        <f>IF(OR(ISBLANK(I9),ISBLANK(J9)),NA(),MAX(0,MIN(60,(4-(I9))*15+(J9))))</f>
        <v/>
      </c>
      <c r="L9" s="9" t="n">
        <v>0</v>
      </c>
      <c r="M9" s="9" t="n">
        <v>0</v>
      </c>
      <c r="N9" s="6">
        <f>IF(OR(ISBLANK(M9),ISBLANK(L9)),NA(),M9-L9)</f>
        <v/>
      </c>
      <c r="O9" s="6">
        <f>IF(OR(ISBLANK(M9),ISBLANK(L9)),NA(),M9+L9)</f>
        <v/>
      </c>
      <c r="P9" s="7">
        <f>IF(ISBLANK(K9),NA(),MAX(0,MIN(1,K9/60)))</f>
        <v/>
      </c>
      <c r="Q9" s="6">
        <f>'Bets'!R9</f>
        <v/>
      </c>
      <c r="R9" s="10">
        <f>IF(OR(ISBLANK('Bets'!T9),ISBLANK('Bets'!V9)),13,('Bets'!V9-'Bets'!T9)/(2.56310313109))</f>
        <v/>
      </c>
      <c r="S9" s="6">
        <f>IF(OR(ISNA(P9),ISNA(N9)),NA(),(P9)*(Q9)+(1-(P9))*(N9))</f>
        <v/>
      </c>
      <c r="T9" s="10">
        <f>IF(OR(ISNA(P9),ISBLANK(R9)),NA(),(R9)*SQRT(P9))</f>
        <v/>
      </c>
      <c r="U9" s="7">
        <f>IF(ISNA(V9),NA(),1-(V9))</f>
        <v/>
      </c>
      <c r="V9" s="7">
        <f>IF(ISNA(P9),NA(),IF(P9&gt;=0.999999,'Bets'!O9,IF(OR(ISNA(T9),T9&lt;=0),NA(),1-NORMSDIST((0-(S9))/(T9)))))</f>
        <v/>
      </c>
      <c r="W9" s="8" t="n">
        <v>7</v>
      </c>
      <c r="X9" s="9" t="n">
        <v>-110</v>
      </c>
      <c r="Y9" s="8">
        <f>-W9</f>
        <v/>
      </c>
      <c r="Z9" s="9" t="n">
        <v>-110</v>
      </c>
      <c r="AA9" s="9" t="n">
        <v>250</v>
      </c>
      <c r="AB9" s="9" t="n">
        <v>-310</v>
      </c>
      <c r="AC9" s="8" t="n">
        <v>49.5</v>
      </c>
      <c r="AD9" s="9" t="n">
        <v>-110</v>
      </c>
      <c r="AE9" s="9" t="n">
        <v>-110</v>
      </c>
      <c r="AF9" s="7">
        <f>IF(OR(ISNA(T9),T9&lt;=0,ISBLANK(W9)),NA(),NORMSDIST(((W9)-(S9))/(T9)))</f>
        <v/>
      </c>
      <c r="AG9" s="7">
        <f>IF(OR(ISNA(T9),T9&lt;=0,ISBLANK(Y9)),NA(),1-NORMSDIST(((-Y9)-(S9))/(T9)))</f>
        <v/>
      </c>
      <c r="AH9">
        <f>IF(BF9&gt;=BE9,H9,G9)</f>
        <v/>
      </c>
      <c r="AI9" s="7">
        <f>MAX(0,BF9,BE9)</f>
        <v/>
      </c>
      <c r="AJ9">
        <f>IF(AI9&lt;=0,"PASS",IF(AI9&lt;0.02,"PASS",IF(AI9&lt;0.04,"LEAN",IF(AI9&lt;0.07,"SMALL",IF(AI9&lt;0.10,"MEDIUM","STRONG")))))</f>
        <v/>
      </c>
      <c r="AK9" s="4">
        <f>IF(AI9&lt;0.01,1,IF(AI9&lt;0.02,2,IF(AI9&lt;0.03,3,IF(AI9&lt;0.04,4,IF(AI9&lt;0.05,5,IF(AI9&lt;0.06,6,IF(AI9&lt;0.07,7,IF(AI9&lt;0.08,8,IF(AI9&lt;0.10,9,10)))))))))</f>
        <v/>
      </c>
      <c r="AL9" s="7">
        <f>IF(AH9=H9,(AG9)*(IF(Z9&gt;0,Z9/100,100/ABS(Z9)))-(1-(AG9)),(AF9)*(IF(X9&gt;0,X9/100,100/ABS(X9)))-(1-(AF9)))</f>
        <v/>
      </c>
      <c r="AM9">
        <f>IF((V9)-(IF(OR(ISBLANK(AB9),AB9=0),NA(),IF(AB9&gt;0,100/(AB9+100),-(AB9)/(-(AB9)+100))))&gt;=(U9)-(IF(OR(ISBLANK(AA9),AA9=0),NA(),IF(AA9&gt;0,100/(AA9+100),-(AA9)/(-(AA9)+100)))),H9,G9)</f>
        <v/>
      </c>
      <c r="AN9" s="7">
        <f>MAX(0,(V9)-(IF(OR(ISBLANK(AB9),AB9=0),NA(),IF(AB9&gt;0,100/(AB9+100),-(AB9)/(-(AB9)+100)))),(U9)-(IF(OR(ISBLANK(AA9),AA9=0),NA(),IF(AA9&gt;0,100/(AA9+100),-(AA9)/(-(AA9)+100)))))</f>
        <v/>
      </c>
      <c r="AO9">
        <f>IF(AN9&lt;=0,"PASS",IF(AN9&lt;0.02,"PASS",IF(AN9&lt;0.04,"LEAN",IF(AN9&lt;0.07,"SMALL",IF(AN9&lt;0.10,"MEDIUM","STRONG")))))</f>
        <v/>
      </c>
      <c r="AP9" s="4">
        <f>IF(AN9&lt;0.01,1,IF(AN9&lt;0.02,2,IF(AN9&lt;0.03,3,IF(AN9&lt;0.04,4,IF(AN9&lt;0.05,5,IF(AN9&lt;0.06,6,IF(AN9&lt;0.07,7,IF(AN9&lt;0.08,8,IF(AN9&lt;0.10,9,10)))))))))</f>
        <v/>
      </c>
      <c r="AQ9" s="7">
        <f>IF(AM9=H9,(V9)*(IF(AB9&gt;0,AB9/100,100/ABS(AB9)))-(1-(V9)),(U9)*(IF(AA9&gt;0,AA9/100,100/ABS(AA9)))-(1-(U9)))</f>
        <v/>
      </c>
      <c r="AR9" s="6">
        <f>'Bets'!S9</f>
        <v/>
      </c>
      <c r="AS9" s="10">
        <f>IF(OR(ISBLANK('Bets'!W9),ISBLANK('Bets'!Y9)),16,('Bets'!Y9-'Bets'!W9)/(2.56310313109))</f>
        <v/>
      </c>
      <c r="AT9" s="6">
        <f>IF(OR(ISNA(P9),ISNA(O9)),NA(),(P9)*(AR9)+(1-(P9))*(O9))</f>
        <v/>
      </c>
      <c r="AU9" s="10">
        <f>IF(OR(ISNA(P9),ISBLANK(AS9)),NA(),(AS9)*SQRT(P9))</f>
        <v/>
      </c>
      <c r="AV9" s="7">
        <f>IF(OR(ISNA(AU9),AU9&lt;=0,ISBLANK(AC9)),NA(),1-NORMSDIST(((AC9)-(AT9))/(AU9)))</f>
        <v/>
      </c>
      <c r="AW9" s="7">
        <f>IF(ISNA(AV9),NA(),1-(AV9))</f>
        <v/>
      </c>
      <c r="AX9">
        <f>IF(BI9&gt;=BJ9,"OVER","UNDER")</f>
        <v/>
      </c>
      <c r="AY9" s="7">
        <f>MAX(0,BI9,BJ9)</f>
        <v/>
      </c>
      <c r="AZ9">
        <f>IF(AY9&lt;=0,"PASS",IF(AY9&lt;0.02,"PASS",IF(AY9&lt;0.04,"LEAN",IF(AY9&lt;0.07,"SMALL",IF(AY9&lt;0.10,"MEDIUM","STRONG")))))</f>
        <v/>
      </c>
      <c r="BA9" s="4">
        <f>IF(AY9&lt;0.01,1,IF(AY9&lt;0.02,2,IF(AY9&lt;0.03,3,IF(AY9&lt;0.04,4,IF(AY9&lt;0.05,5,IF(AY9&lt;0.06,6,IF(AY9&lt;0.07,7,IF(AY9&lt;0.08,8,IF(AY9&lt;0.10,9,10)))))))))</f>
        <v/>
      </c>
      <c r="BB9" s="7">
        <f>IF(AX9="OVER",(AV9)*(IF(AD9&gt;0,AD9/100,100/ABS(AD9)))-(1-(AV9)),(AW9)*(IF(AE9&gt;0,AE9/100,100/ABS(AE9)))-(1-(AW9)))</f>
        <v/>
      </c>
      <c r="BC9" s="7">
        <f>IF(OR(ISBLANK(X9),X9=0),NA(),IF(X9&gt;0,100/(X9+100),-(X9)/(-(X9)+100)))</f>
        <v/>
      </c>
      <c r="BD9" s="7">
        <f>IF(OR(ISBLANK(Z9),Z9=0),NA(),IF(Z9&gt;0,100/(Z9+100),-(Z9)/(-(Z9)+100)))</f>
        <v/>
      </c>
      <c r="BE9" s="7">
        <f>AF9-BC9</f>
        <v/>
      </c>
      <c r="BF9" s="7">
        <f>AG9-BD9</f>
        <v/>
      </c>
      <c r="BG9" s="7">
        <f>IF(OR(ISBLANK(AD9),AD9=0),NA(),IF(AD9&gt;0,100/(AD9+100),-(AD9)/(-(AD9)+100)))</f>
        <v/>
      </c>
      <c r="BH9" s="7">
        <f>IF(OR(ISBLANK(AE9),AE9=0),NA(),IF(AE9&gt;0,100/(AE9+100),-(AE9)/(-(AE9)+100)))</f>
        <v/>
      </c>
      <c r="BI9" s="7">
        <f>AV9-BG9</f>
        <v/>
      </c>
      <c r="BJ9" s="7">
        <f>AW9-BH9</f>
        <v/>
      </c>
    </row>
    <row r="10">
      <c r="A10" s="4">
        <f>'Bets'!A10</f>
        <v/>
      </c>
      <c r="B10" s="4">
        <f>'Bets'!B10</f>
        <v/>
      </c>
      <c r="C10">
        <f>'Bets'!C10</f>
        <v/>
      </c>
      <c r="D10">
        <f>'Bets'!D10</f>
        <v/>
      </c>
      <c r="E10" s="5">
        <f>'Bets'!E10</f>
        <v/>
      </c>
      <c r="F10">
        <f>'Bets'!F10</f>
        <v/>
      </c>
      <c r="G10">
        <f>'Bets'!G10</f>
        <v/>
      </c>
      <c r="H10">
        <f>'Bets'!H10</f>
        <v/>
      </c>
      <c r="I10" s="9" t="n">
        <v>1</v>
      </c>
      <c r="J10" s="9" t="n">
        <v>15</v>
      </c>
      <c r="K10" s="4">
        <f>IF(OR(ISBLANK(I10),ISBLANK(J10)),NA(),MAX(0,MIN(60,(4-(I10))*15+(J10))))</f>
        <v/>
      </c>
      <c r="L10" s="9" t="n">
        <v>0</v>
      </c>
      <c r="M10" s="9" t="n">
        <v>0</v>
      </c>
      <c r="N10" s="6">
        <f>IF(OR(ISBLANK(M10),ISBLANK(L10)),NA(),M10-L10)</f>
        <v/>
      </c>
      <c r="O10" s="6">
        <f>IF(OR(ISBLANK(M10),ISBLANK(L10)),NA(),M10+L10)</f>
        <v/>
      </c>
      <c r="P10" s="7">
        <f>IF(ISBLANK(K10),NA(),MAX(0,MIN(1,K10/60)))</f>
        <v/>
      </c>
      <c r="Q10" s="6">
        <f>'Bets'!R10</f>
        <v/>
      </c>
      <c r="R10" s="10">
        <f>IF(OR(ISBLANK('Bets'!T10),ISBLANK('Bets'!V10)),13,('Bets'!V10-'Bets'!T10)/(2.56310313109))</f>
        <v/>
      </c>
      <c r="S10" s="6">
        <f>IF(OR(ISNA(P10),ISNA(N10)),NA(),(P10)*(Q10)+(1-(P10))*(N10))</f>
        <v/>
      </c>
      <c r="T10" s="10">
        <f>IF(OR(ISNA(P10),ISBLANK(R10)),NA(),(R10)*SQRT(P10))</f>
        <v/>
      </c>
      <c r="U10" s="7">
        <f>IF(ISNA(V10),NA(),1-(V10))</f>
        <v/>
      </c>
      <c r="V10" s="7">
        <f>IF(ISNA(P10),NA(),IF(P10&gt;=0.999999,'Bets'!O10,IF(OR(ISNA(T10),T10&lt;=0),NA(),1-NORMSDIST((0-(S10))/(T10)))))</f>
        <v/>
      </c>
      <c r="W10" s="8" t="n">
        <v>1.5</v>
      </c>
      <c r="X10" s="9" t="n">
        <v>-110</v>
      </c>
      <c r="Y10" s="8">
        <f>-W10</f>
        <v/>
      </c>
      <c r="Z10" s="9" t="n">
        <v>-110</v>
      </c>
      <c r="AA10" s="9" t="n">
        <v>102</v>
      </c>
      <c r="AB10" s="9" t="n">
        <v>-122</v>
      </c>
      <c r="AC10" s="8" t="n">
        <v>38.5</v>
      </c>
      <c r="AD10" s="9" t="n">
        <v>-110</v>
      </c>
      <c r="AE10" s="9" t="n">
        <v>-110</v>
      </c>
      <c r="AF10" s="7">
        <f>IF(OR(ISNA(T10),T10&lt;=0,ISBLANK(W10)),NA(),NORMSDIST(((W10)-(S10))/(T10)))</f>
        <v/>
      </c>
      <c r="AG10" s="7">
        <f>IF(OR(ISNA(T10),T10&lt;=0,ISBLANK(Y10)),NA(),1-NORMSDIST(((-Y10)-(S10))/(T10)))</f>
        <v/>
      </c>
      <c r="AH10">
        <f>IF(BF10&gt;=BE10,H10,G10)</f>
        <v/>
      </c>
      <c r="AI10" s="7">
        <f>MAX(0,BF10,BE10)</f>
        <v/>
      </c>
      <c r="AJ10">
        <f>IF(AI10&lt;=0,"PASS",IF(AI10&lt;0.02,"PASS",IF(AI10&lt;0.04,"LEAN",IF(AI10&lt;0.07,"SMALL",IF(AI10&lt;0.10,"MEDIUM","STRONG")))))</f>
        <v/>
      </c>
      <c r="AK10" s="4">
        <f>IF(AI10&lt;0.01,1,IF(AI10&lt;0.02,2,IF(AI10&lt;0.03,3,IF(AI10&lt;0.04,4,IF(AI10&lt;0.05,5,IF(AI10&lt;0.06,6,IF(AI10&lt;0.07,7,IF(AI10&lt;0.08,8,IF(AI10&lt;0.10,9,10)))))))))</f>
        <v/>
      </c>
      <c r="AL10" s="7">
        <f>IF(AH10=H10,(AG10)*(IF(Z10&gt;0,Z10/100,100/ABS(Z10)))-(1-(AG10)),(AF10)*(IF(X10&gt;0,X10/100,100/ABS(X10)))-(1-(AF10)))</f>
        <v/>
      </c>
      <c r="AM10">
        <f>IF((V10)-(IF(OR(ISBLANK(AB10),AB10=0),NA(),IF(AB10&gt;0,100/(AB10+100),-(AB10)/(-(AB10)+100))))&gt;=(U10)-(IF(OR(ISBLANK(AA10),AA10=0),NA(),IF(AA10&gt;0,100/(AA10+100),-(AA10)/(-(AA10)+100)))),H10,G10)</f>
        <v/>
      </c>
      <c r="AN10" s="7">
        <f>MAX(0,(V10)-(IF(OR(ISBLANK(AB10),AB10=0),NA(),IF(AB10&gt;0,100/(AB10+100),-(AB10)/(-(AB10)+100)))),(U10)-(IF(OR(ISBLANK(AA10),AA10=0),NA(),IF(AA10&gt;0,100/(AA10+100),-(AA10)/(-(AA10)+100)))))</f>
        <v/>
      </c>
      <c r="AO10">
        <f>IF(AN10&lt;=0,"PASS",IF(AN10&lt;0.02,"PASS",IF(AN10&lt;0.04,"LEAN",IF(AN10&lt;0.07,"SMALL",IF(AN10&lt;0.10,"MEDIUM","STRONG")))))</f>
        <v/>
      </c>
      <c r="AP10" s="4">
        <f>IF(AN10&lt;0.01,1,IF(AN10&lt;0.02,2,IF(AN10&lt;0.03,3,IF(AN10&lt;0.04,4,IF(AN10&lt;0.05,5,IF(AN10&lt;0.06,6,IF(AN10&lt;0.07,7,IF(AN10&lt;0.08,8,IF(AN10&lt;0.10,9,10)))))))))</f>
        <v/>
      </c>
      <c r="AQ10" s="7">
        <f>IF(AM10=H10,(V10)*(IF(AB10&gt;0,AB10/100,100/ABS(AB10)))-(1-(V10)),(U10)*(IF(AA10&gt;0,AA10/100,100/ABS(AA10)))-(1-(U10)))</f>
        <v/>
      </c>
      <c r="AR10" s="6">
        <f>'Bets'!S10</f>
        <v/>
      </c>
      <c r="AS10" s="10">
        <f>IF(OR(ISBLANK('Bets'!W10),ISBLANK('Bets'!Y10)),16,('Bets'!Y10-'Bets'!W10)/(2.56310313109))</f>
        <v/>
      </c>
      <c r="AT10" s="6">
        <f>IF(OR(ISNA(P10),ISNA(O10)),NA(),(P10)*(AR10)+(1-(P10))*(O10))</f>
        <v/>
      </c>
      <c r="AU10" s="10">
        <f>IF(OR(ISNA(P10),ISBLANK(AS10)),NA(),(AS10)*SQRT(P10))</f>
        <v/>
      </c>
      <c r="AV10" s="7">
        <f>IF(OR(ISNA(AU10),AU10&lt;=0,ISBLANK(AC10)),NA(),1-NORMSDIST(((AC10)-(AT10))/(AU10)))</f>
        <v/>
      </c>
      <c r="AW10" s="7">
        <f>IF(ISNA(AV10),NA(),1-(AV10))</f>
        <v/>
      </c>
      <c r="AX10">
        <f>IF(BI10&gt;=BJ10,"OVER","UNDER")</f>
        <v/>
      </c>
      <c r="AY10" s="7">
        <f>MAX(0,BI10,BJ10)</f>
        <v/>
      </c>
      <c r="AZ10">
        <f>IF(AY10&lt;=0,"PASS",IF(AY10&lt;0.02,"PASS",IF(AY10&lt;0.04,"LEAN",IF(AY10&lt;0.07,"SMALL",IF(AY10&lt;0.10,"MEDIUM","STRONG")))))</f>
        <v/>
      </c>
      <c r="BA10" s="4">
        <f>IF(AY10&lt;0.01,1,IF(AY10&lt;0.02,2,IF(AY10&lt;0.03,3,IF(AY10&lt;0.04,4,IF(AY10&lt;0.05,5,IF(AY10&lt;0.06,6,IF(AY10&lt;0.07,7,IF(AY10&lt;0.08,8,IF(AY10&lt;0.10,9,10)))))))))</f>
        <v/>
      </c>
      <c r="BB10" s="7">
        <f>IF(AX10="OVER",(AV10)*(IF(AD10&gt;0,AD10/100,100/ABS(AD10)))-(1-(AV10)),(AW10)*(IF(AE10&gt;0,AE10/100,100/ABS(AE10)))-(1-(AW10)))</f>
        <v/>
      </c>
      <c r="BC10" s="7">
        <f>IF(OR(ISBLANK(X10),X10=0),NA(),IF(X10&gt;0,100/(X10+100),-(X10)/(-(X10)+100)))</f>
        <v/>
      </c>
      <c r="BD10" s="7">
        <f>IF(OR(ISBLANK(Z10),Z10=0),NA(),IF(Z10&gt;0,100/(Z10+100),-(Z10)/(-(Z10)+100)))</f>
        <v/>
      </c>
      <c r="BE10" s="7">
        <f>AF10-BC10</f>
        <v/>
      </c>
      <c r="BF10" s="7">
        <f>AG10-BD10</f>
        <v/>
      </c>
      <c r="BG10" s="7">
        <f>IF(OR(ISBLANK(AD10),AD10=0),NA(),IF(AD10&gt;0,100/(AD10+100),-(AD10)/(-(AD10)+100)))</f>
        <v/>
      </c>
      <c r="BH10" s="7">
        <f>IF(OR(ISBLANK(AE10),AE10=0),NA(),IF(AE10&gt;0,100/(AE10+100),-(AE10)/(-(AE10)+100)))</f>
        <v/>
      </c>
      <c r="BI10" s="7">
        <f>AV10-BG10</f>
        <v/>
      </c>
      <c r="BJ10" s="7">
        <f>AW10-BH10</f>
        <v/>
      </c>
    </row>
    <row r="11">
      <c r="A11" s="4">
        <f>'Bets'!A11</f>
        <v/>
      </c>
      <c r="B11" s="4">
        <f>'Bets'!B11</f>
        <v/>
      </c>
      <c r="C11">
        <f>'Bets'!C11</f>
        <v/>
      </c>
      <c r="D11">
        <f>'Bets'!D11</f>
        <v/>
      </c>
      <c r="E11" s="5">
        <f>'Bets'!E11</f>
        <v/>
      </c>
      <c r="F11">
        <f>'Bets'!F11</f>
        <v/>
      </c>
      <c r="G11">
        <f>'Bets'!G11</f>
        <v/>
      </c>
      <c r="H11">
        <f>'Bets'!H11</f>
        <v/>
      </c>
      <c r="I11" s="9" t="n">
        <v>1</v>
      </c>
      <c r="J11" s="9" t="n">
        <v>15</v>
      </c>
      <c r="K11" s="4">
        <f>IF(OR(ISBLANK(I11),ISBLANK(J11)),NA(),MAX(0,MIN(60,(4-(I11))*15+(J11))))</f>
        <v/>
      </c>
      <c r="L11" s="9" t="n">
        <v>0</v>
      </c>
      <c r="M11" s="9" t="n">
        <v>0</v>
      </c>
      <c r="N11" s="6">
        <f>IF(OR(ISBLANK(M11),ISBLANK(L11)),NA(),M11-L11)</f>
        <v/>
      </c>
      <c r="O11" s="6">
        <f>IF(OR(ISBLANK(M11),ISBLANK(L11)),NA(),M11+L11)</f>
        <v/>
      </c>
      <c r="P11" s="7">
        <f>IF(ISBLANK(K11),NA(),MAX(0,MIN(1,K11/60)))</f>
        <v/>
      </c>
      <c r="Q11" s="6">
        <f>'Bets'!R11</f>
        <v/>
      </c>
      <c r="R11" s="10">
        <f>IF(OR(ISBLANK('Bets'!T11),ISBLANK('Bets'!V11)),13,('Bets'!V11-'Bets'!T11)/(2.56310313109))</f>
        <v/>
      </c>
      <c r="S11" s="6">
        <f>IF(OR(ISNA(P11),ISNA(N11)),NA(),(P11)*(Q11)+(1-(P11))*(N11))</f>
        <v/>
      </c>
      <c r="T11" s="10">
        <f>IF(OR(ISNA(P11),ISBLANK(R11)),NA(),(R11)*SQRT(P11))</f>
        <v/>
      </c>
      <c r="U11" s="7">
        <f>IF(ISNA(V11),NA(),1-(V11))</f>
        <v/>
      </c>
      <c r="V11" s="7">
        <f>IF(ISNA(P11),NA(),IF(P11&gt;=0.999999,'Bets'!O11,IF(OR(ISNA(T11),T11&lt;=0),NA(),1-NORMSDIST((0-(S11))/(T11)))))</f>
        <v/>
      </c>
      <c r="W11" s="8" t="n">
        <v>3.5</v>
      </c>
      <c r="X11" s="9" t="n">
        <v>-110</v>
      </c>
      <c r="Y11" s="8">
        <f>-W11</f>
        <v/>
      </c>
      <c r="Z11" s="9" t="n">
        <v>-110</v>
      </c>
      <c r="AA11" s="9" t="n">
        <v>164</v>
      </c>
      <c r="AB11" s="9" t="n">
        <v>-198</v>
      </c>
      <c r="AC11" s="8" t="n">
        <v>50.5</v>
      </c>
      <c r="AD11" s="9" t="n">
        <v>-110</v>
      </c>
      <c r="AE11" s="9" t="n">
        <v>-110</v>
      </c>
      <c r="AF11" s="7">
        <f>IF(OR(ISNA(T11),T11&lt;=0,ISBLANK(W11)),NA(),NORMSDIST(((W11)-(S11))/(T11)))</f>
        <v/>
      </c>
      <c r="AG11" s="7">
        <f>IF(OR(ISNA(T11),T11&lt;=0,ISBLANK(Y11)),NA(),1-NORMSDIST(((-Y11)-(S11))/(T11)))</f>
        <v/>
      </c>
      <c r="AH11">
        <f>IF(BF11&gt;=BE11,H11,G11)</f>
        <v/>
      </c>
      <c r="AI11" s="7">
        <f>MAX(0,BF11,BE11)</f>
        <v/>
      </c>
      <c r="AJ11">
        <f>IF(AI11&lt;=0,"PASS",IF(AI11&lt;0.02,"PASS",IF(AI11&lt;0.04,"LEAN",IF(AI11&lt;0.07,"SMALL",IF(AI11&lt;0.10,"MEDIUM","STRONG")))))</f>
        <v/>
      </c>
      <c r="AK11" s="4">
        <f>IF(AI11&lt;0.01,1,IF(AI11&lt;0.02,2,IF(AI11&lt;0.03,3,IF(AI11&lt;0.04,4,IF(AI11&lt;0.05,5,IF(AI11&lt;0.06,6,IF(AI11&lt;0.07,7,IF(AI11&lt;0.08,8,IF(AI11&lt;0.10,9,10)))))))))</f>
        <v/>
      </c>
      <c r="AL11" s="7">
        <f>IF(AH11=H11,(AG11)*(IF(Z11&gt;0,Z11/100,100/ABS(Z11)))-(1-(AG11)),(AF11)*(IF(X11&gt;0,X11/100,100/ABS(X11)))-(1-(AF11)))</f>
        <v/>
      </c>
      <c r="AM11">
        <f>IF((V11)-(IF(OR(ISBLANK(AB11),AB11=0),NA(),IF(AB11&gt;0,100/(AB11+100),-(AB11)/(-(AB11)+100))))&gt;=(U11)-(IF(OR(ISBLANK(AA11),AA11=0),NA(),IF(AA11&gt;0,100/(AA11+100),-(AA11)/(-(AA11)+100)))),H11,G11)</f>
        <v/>
      </c>
      <c r="AN11" s="7">
        <f>MAX(0,(V11)-(IF(OR(ISBLANK(AB11),AB11=0),NA(),IF(AB11&gt;0,100/(AB11+100),-(AB11)/(-(AB11)+100)))),(U11)-(IF(OR(ISBLANK(AA11),AA11=0),NA(),IF(AA11&gt;0,100/(AA11+100),-(AA11)/(-(AA11)+100)))))</f>
        <v/>
      </c>
      <c r="AO11">
        <f>IF(AN11&lt;=0,"PASS",IF(AN11&lt;0.02,"PASS",IF(AN11&lt;0.04,"LEAN",IF(AN11&lt;0.07,"SMALL",IF(AN11&lt;0.10,"MEDIUM","STRONG")))))</f>
        <v/>
      </c>
      <c r="AP11" s="4">
        <f>IF(AN11&lt;0.01,1,IF(AN11&lt;0.02,2,IF(AN11&lt;0.03,3,IF(AN11&lt;0.04,4,IF(AN11&lt;0.05,5,IF(AN11&lt;0.06,6,IF(AN11&lt;0.07,7,IF(AN11&lt;0.08,8,IF(AN11&lt;0.10,9,10)))))))))</f>
        <v/>
      </c>
      <c r="AQ11" s="7">
        <f>IF(AM11=H11,(V11)*(IF(AB11&gt;0,AB11/100,100/ABS(AB11)))-(1-(V11)),(U11)*(IF(AA11&gt;0,AA11/100,100/ABS(AA11)))-(1-(U11)))</f>
        <v/>
      </c>
      <c r="AR11" s="6">
        <f>'Bets'!S11</f>
        <v/>
      </c>
      <c r="AS11" s="10">
        <f>IF(OR(ISBLANK('Bets'!W11),ISBLANK('Bets'!Y11)),16,('Bets'!Y11-'Bets'!W11)/(2.56310313109))</f>
        <v/>
      </c>
      <c r="AT11" s="6">
        <f>IF(OR(ISNA(P11),ISNA(O11)),NA(),(P11)*(AR11)+(1-(P11))*(O11))</f>
        <v/>
      </c>
      <c r="AU11" s="10">
        <f>IF(OR(ISNA(P11),ISBLANK(AS11)),NA(),(AS11)*SQRT(P11))</f>
        <v/>
      </c>
      <c r="AV11" s="7">
        <f>IF(OR(ISNA(AU11),AU11&lt;=0,ISBLANK(AC11)),NA(),1-NORMSDIST(((AC11)-(AT11))/(AU11)))</f>
        <v/>
      </c>
      <c r="AW11" s="7">
        <f>IF(ISNA(AV11),NA(),1-(AV11))</f>
        <v/>
      </c>
      <c r="AX11">
        <f>IF(BI11&gt;=BJ11,"OVER","UNDER")</f>
        <v/>
      </c>
      <c r="AY11" s="7">
        <f>MAX(0,BI11,BJ11)</f>
        <v/>
      </c>
      <c r="AZ11">
        <f>IF(AY11&lt;=0,"PASS",IF(AY11&lt;0.02,"PASS",IF(AY11&lt;0.04,"LEAN",IF(AY11&lt;0.07,"SMALL",IF(AY11&lt;0.10,"MEDIUM","STRONG")))))</f>
        <v/>
      </c>
      <c r="BA11" s="4">
        <f>IF(AY11&lt;0.01,1,IF(AY11&lt;0.02,2,IF(AY11&lt;0.03,3,IF(AY11&lt;0.04,4,IF(AY11&lt;0.05,5,IF(AY11&lt;0.06,6,IF(AY11&lt;0.07,7,IF(AY11&lt;0.08,8,IF(AY11&lt;0.10,9,10)))))))))</f>
        <v/>
      </c>
      <c r="BB11" s="7">
        <f>IF(AX11="OVER",(AV11)*(IF(AD11&gt;0,AD11/100,100/ABS(AD11)))-(1-(AV11)),(AW11)*(IF(AE11&gt;0,AE11/100,100/ABS(AE11)))-(1-(AW11)))</f>
        <v/>
      </c>
      <c r="BC11" s="7">
        <f>IF(OR(ISBLANK(X11),X11=0),NA(),IF(X11&gt;0,100/(X11+100),-(X11)/(-(X11)+100)))</f>
        <v/>
      </c>
      <c r="BD11" s="7">
        <f>IF(OR(ISBLANK(Z11),Z11=0),NA(),IF(Z11&gt;0,100/(Z11+100),-(Z11)/(-(Z11)+100)))</f>
        <v/>
      </c>
      <c r="BE11" s="7">
        <f>AF11-BC11</f>
        <v/>
      </c>
      <c r="BF11" s="7">
        <f>AG11-BD11</f>
        <v/>
      </c>
      <c r="BG11" s="7">
        <f>IF(OR(ISBLANK(AD11),AD11=0),NA(),IF(AD11&gt;0,100/(AD11+100),-(AD11)/(-(AD11)+100)))</f>
        <v/>
      </c>
      <c r="BH11" s="7">
        <f>IF(OR(ISBLANK(AE11),AE11=0),NA(),IF(AE11&gt;0,100/(AE11+100),-(AE11)/(-(AE11)+100)))</f>
        <v/>
      </c>
      <c r="BI11" s="7">
        <f>AV11-BG11</f>
        <v/>
      </c>
      <c r="BJ11" s="7">
        <f>AW11-BH11</f>
        <v/>
      </c>
    </row>
    <row r="12">
      <c r="A12" s="4">
        <f>'Bets'!A12</f>
        <v/>
      </c>
      <c r="B12" s="4">
        <f>'Bets'!B12</f>
        <v/>
      </c>
      <c r="C12">
        <f>'Bets'!C12</f>
        <v/>
      </c>
      <c r="D12">
        <f>'Bets'!D12</f>
        <v/>
      </c>
      <c r="E12" s="5">
        <f>'Bets'!E12</f>
        <v/>
      </c>
      <c r="F12">
        <f>'Bets'!F12</f>
        <v/>
      </c>
      <c r="G12">
        <f>'Bets'!G12</f>
        <v/>
      </c>
      <c r="H12">
        <f>'Bets'!H12</f>
        <v/>
      </c>
      <c r="I12" s="9" t="n">
        <v>1</v>
      </c>
      <c r="J12" s="9" t="n">
        <v>15</v>
      </c>
      <c r="K12" s="4">
        <f>IF(OR(ISBLANK(I12),ISBLANK(J12)),NA(),MAX(0,MIN(60,(4-(I12))*15+(J12))))</f>
        <v/>
      </c>
      <c r="L12" s="9" t="n">
        <v>0</v>
      </c>
      <c r="M12" s="9" t="n">
        <v>0</v>
      </c>
      <c r="N12" s="6">
        <f>IF(OR(ISBLANK(M12),ISBLANK(L12)),NA(),M12-L12)</f>
        <v/>
      </c>
      <c r="O12" s="6">
        <f>IF(OR(ISBLANK(M12),ISBLANK(L12)),NA(),M12+L12)</f>
        <v/>
      </c>
      <c r="P12" s="7">
        <f>IF(ISBLANK(K12),NA(),MAX(0,MIN(1,K12/60)))</f>
        <v/>
      </c>
      <c r="Q12" s="6">
        <f>'Bets'!R12</f>
        <v/>
      </c>
      <c r="R12" s="10">
        <f>IF(OR(ISBLANK('Bets'!T12),ISBLANK('Bets'!V12)),13,('Bets'!V12-'Bets'!T12)/(2.56310313109))</f>
        <v/>
      </c>
      <c r="S12" s="6">
        <f>IF(OR(ISNA(P12),ISNA(N12)),NA(),(P12)*(Q12)+(1-(P12))*(N12))</f>
        <v/>
      </c>
      <c r="T12" s="10">
        <f>IF(OR(ISNA(P12),ISBLANK(R12)),NA(),(R12)*SQRT(P12))</f>
        <v/>
      </c>
      <c r="U12" s="7">
        <f>IF(ISNA(V12),NA(),1-(V12))</f>
        <v/>
      </c>
      <c r="V12" s="7">
        <f>IF(ISNA(P12),NA(),IF(P12&gt;=0.999999,'Bets'!O12,IF(OR(ISNA(T12),T12&lt;=0),NA(),1-NORMSDIST((0-(S12))/(T12)))))</f>
        <v/>
      </c>
      <c r="W12" s="8" t="n">
        <v>9.5</v>
      </c>
      <c r="X12" s="9" t="n">
        <v>-110</v>
      </c>
      <c r="Y12" s="8">
        <f>-W12</f>
        <v/>
      </c>
      <c r="Z12" s="9" t="n">
        <v>-110</v>
      </c>
      <c r="AA12" s="9" t="n">
        <v>380</v>
      </c>
      <c r="AB12" s="9" t="n">
        <v>-500</v>
      </c>
      <c r="AC12" s="8" t="n">
        <v>47.5</v>
      </c>
      <c r="AD12" s="9" t="n">
        <v>-110</v>
      </c>
      <c r="AE12" s="9" t="n">
        <v>-110</v>
      </c>
      <c r="AF12" s="7">
        <f>IF(OR(ISNA(T12),T12&lt;=0,ISBLANK(W12)),NA(),NORMSDIST(((W12)-(S12))/(T12)))</f>
        <v/>
      </c>
      <c r="AG12" s="7">
        <f>IF(OR(ISNA(T12),T12&lt;=0,ISBLANK(Y12)),NA(),1-NORMSDIST(((-Y12)-(S12))/(T12)))</f>
        <v/>
      </c>
      <c r="AH12">
        <f>IF(BF12&gt;=BE12,H12,G12)</f>
        <v/>
      </c>
      <c r="AI12" s="7">
        <f>MAX(0,BF12,BE12)</f>
        <v/>
      </c>
      <c r="AJ12">
        <f>IF(AI12&lt;=0,"PASS",IF(AI12&lt;0.02,"PASS",IF(AI12&lt;0.04,"LEAN",IF(AI12&lt;0.07,"SMALL",IF(AI12&lt;0.10,"MEDIUM","STRONG")))))</f>
        <v/>
      </c>
      <c r="AK12" s="4">
        <f>IF(AI12&lt;0.01,1,IF(AI12&lt;0.02,2,IF(AI12&lt;0.03,3,IF(AI12&lt;0.04,4,IF(AI12&lt;0.05,5,IF(AI12&lt;0.06,6,IF(AI12&lt;0.07,7,IF(AI12&lt;0.08,8,IF(AI12&lt;0.10,9,10)))))))))</f>
        <v/>
      </c>
      <c r="AL12" s="7">
        <f>IF(AH12=H12,(AG12)*(IF(Z12&gt;0,Z12/100,100/ABS(Z12)))-(1-(AG12)),(AF12)*(IF(X12&gt;0,X12/100,100/ABS(X12)))-(1-(AF12)))</f>
        <v/>
      </c>
      <c r="AM12">
        <f>IF((V12)-(IF(OR(ISBLANK(AB12),AB12=0),NA(),IF(AB12&gt;0,100/(AB12+100),-(AB12)/(-(AB12)+100))))&gt;=(U12)-(IF(OR(ISBLANK(AA12),AA12=0),NA(),IF(AA12&gt;0,100/(AA12+100),-(AA12)/(-(AA12)+100)))),H12,G12)</f>
        <v/>
      </c>
      <c r="AN12" s="7">
        <f>MAX(0,(V12)-(IF(OR(ISBLANK(AB12),AB12=0),NA(),IF(AB12&gt;0,100/(AB12+100),-(AB12)/(-(AB12)+100)))),(U12)-(IF(OR(ISBLANK(AA12),AA12=0),NA(),IF(AA12&gt;0,100/(AA12+100),-(AA12)/(-(AA12)+100)))))</f>
        <v/>
      </c>
      <c r="AO12">
        <f>IF(AN12&lt;=0,"PASS",IF(AN12&lt;0.02,"PASS",IF(AN12&lt;0.04,"LEAN",IF(AN12&lt;0.07,"SMALL",IF(AN12&lt;0.10,"MEDIUM","STRONG")))))</f>
        <v/>
      </c>
      <c r="AP12" s="4">
        <f>IF(AN12&lt;0.01,1,IF(AN12&lt;0.02,2,IF(AN12&lt;0.03,3,IF(AN12&lt;0.04,4,IF(AN12&lt;0.05,5,IF(AN12&lt;0.06,6,IF(AN12&lt;0.07,7,IF(AN12&lt;0.08,8,IF(AN12&lt;0.10,9,10)))))))))</f>
        <v/>
      </c>
      <c r="AQ12" s="7">
        <f>IF(AM12=H12,(V12)*(IF(AB12&gt;0,AB12/100,100/ABS(AB12)))-(1-(V12)),(U12)*(IF(AA12&gt;0,AA12/100,100/ABS(AA12)))-(1-(U12)))</f>
        <v/>
      </c>
      <c r="AR12" s="6">
        <f>'Bets'!S12</f>
        <v/>
      </c>
      <c r="AS12" s="10">
        <f>IF(OR(ISBLANK('Bets'!W12),ISBLANK('Bets'!Y12)),16,('Bets'!Y12-'Bets'!W12)/(2.56310313109))</f>
        <v/>
      </c>
      <c r="AT12" s="6">
        <f>IF(OR(ISNA(P12),ISNA(O12)),NA(),(P12)*(AR12)+(1-(P12))*(O12))</f>
        <v/>
      </c>
      <c r="AU12" s="10">
        <f>IF(OR(ISNA(P12),ISBLANK(AS12)),NA(),(AS12)*SQRT(P12))</f>
        <v/>
      </c>
      <c r="AV12" s="7">
        <f>IF(OR(ISNA(AU12),AU12&lt;=0,ISBLANK(AC12)),NA(),1-NORMSDIST(((AC12)-(AT12))/(AU12)))</f>
        <v/>
      </c>
      <c r="AW12" s="7">
        <f>IF(ISNA(AV12),NA(),1-(AV12))</f>
        <v/>
      </c>
      <c r="AX12">
        <f>IF(BI12&gt;=BJ12,"OVER","UNDER")</f>
        <v/>
      </c>
      <c r="AY12" s="7">
        <f>MAX(0,BI12,BJ12)</f>
        <v/>
      </c>
      <c r="AZ12">
        <f>IF(AY12&lt;=0,"PASS",IF(AY12&lt;0.02,"PASS",IF(AY12&lt;0.04,"LEAN",IF(AY12&lt;0.07,"SMALL",IF(AY12&lt;0.10,"MEDIUM","STRONG")))))</f>
        <v/>
      </c>
      <c r="BA12" s="4">
        <f>IF(AY12&lt;0.01,1,IF(AY12&lt;0.02,2,IF(AY12&lt;0.03,3,IF(AY12&lt;0.04,4,IF(AY12&lt;0.05,5,IF(AY12&lt;0.06,6,IF(AY12&lt;0.07,7,IF(AY12&lt;0.08,8,IF(AY12&lt;0.10,9,10)))))))))</f>
        <v/>
      </c>
      <c r="BB12" s="7">
        <f>IF(AX12="OVER",(AV12)*(IF(AD12&gt;0,AD12/100,100/ABS(AD12)))-(1-(AV12)),(AW12)*(IF(AE12&gt;0,AE12/100,100/ABS(AE12)))-(1-(AW12)))</f>
        <v/>
      </c>
      <c r="BC12" s="7">
        <f>IF(OR(ISBLANK(X12),X12=0),NA(),IF(X12&gt;0,100/(X12+100),-(X12)/(-(X12)+100)))</f>
        <v/>
      </c>
      <c r="BD12" s="7">
        <f>IF(OR(ISBLANK(Z12),Z12=0),NA(),IF(Z12&gt;0,100/(Z12+100),-(Z12)/(-(Z12)+100)))</f>
        <v/>
      </c>
      <c r="BE12" s="7">
        <f>AF12-BC12</f>
        <v/>
      </c>
      <c r="BF12" s="7">
        <f>AG12-BD12</f>
        <v/>
      </c>
      <c r="BG12" s="7">
        <f>IF(OR(ISBLANK(AD12),AD12=0),NA(),IF(AD12&gt;0,100/(AD12+100),-(AD12)/(-(AD12)+100)))</f>
        <v/>
      </c>
      <c r="BH12" s="7">
        <f>IF(OR(ISBLANK(AE12),AE12=0),NA(),IF(AE12&gt;0,100/(AE12+100),-(AE12)/(-(AE12)+100)))</f>
        <v/>
      </c>
      <c r="BI12" s="7">
        <f>AV12-BG12</f>
        <v/>
      </c>
      <c r="BJ12" s="7">
        <f>AW12-BH12</f>
        <v/>
      </c>
    </row>
    <row r="13">
      <c r="A13" s="4">
        <f>'Bets'!A13</f>
        <v/>
      </c>
      <c r="B13" s="4">
        <f>'Bets'!B13</f>
        <v/>
      </c>
      <c r="C13">
        <f>'Bets'!C13</f>
        <v/>
      </c>
      <c r="D13">
        <f>'Bets'!D13</f>
        <v/>
      </c>
      <c r="E13" s="5">
        <f>'Bets'!E13</f>
        <v/>
      </c>
      <c r="F13">
        <f>'Bets'!F13</f>
        <v/>
      </c>
      <c r="G13">
        <f>'Bets'!G13</f>
        <v/>
      </c>
      <c r="H13">
        <f>'Bets'!H13</f>
        <v/>
      </c>
      <c r="I13" s="9" t="n">
        <v>1</v>
      </c>
      <c r="J13" s="9" t="n">
        <v>15</v>
      </c>
      <c r="K13" s="4">
        <f>IF(OR(ISBLANK(I13),ISBLANK(J13)),NA(),MAX(0,MIN(60,(4-(I13))*15+(J13))))</f>
        <v/>
      </c>
      <c r="L13" s="9" t="n">
        <v>0</v>
      </c>
      <c r="M13" s="9" t="n">
        <v>0</v>
      </c>
      <c r="N13" s="6">
        <f>IF(OR(ISBLANK(M13),ISBLANK(L13)),NA(),M13-L13)</f>
        <v/>
      </c>
      <c r="O13" s="6">
        <f>IF(OR(ISBLANK(M13),ISBLANK(L13)),NA(),M13+L13)</f>
        <v/>
      </c>
      <c r="P13" s="7">
        <f>IF(ISBLANK(K13),NA(),MAX(0,MIN(1,K13/60)))</f>
        <v/>
      </c>
      <c r="Q13" s="6">
        <f>'Bets'!R13</f>
        <v/>
      </c>
      <c r="R13" s="10">
        <f>IF(OR(ISBLANK('Bets'!T13),ISBLANK('Bets'!V13)),13,('Bets'!V13-'Bets'!T13)/(2.56310313109))</f>
        <v/>
      </c>
      <c r="S13" s="6">
        <f>IF(OR(ISNA(P13),ISNA(N13)),NA(),(P13)*(Q13)+(1-(P13))*(N13))</f>
        <v/>
      </c>
      <c r="T13" s="10">
        <f>IF(OR(ISNA(P13),ISBLANK(R13)),NA(),(R13)*SQRT(P13))</f>
        <v/>
      </c>
      <c r="U13" s="7">
        <f>IF(ISNA(V13),NA(),1-(V13))</f>
        <v/>
      </c>
      <c r="V13" s="7">
        <f>IF(ISNA(P13),NA(),IF(P13&gt;=0.999999,'Bets'!O13,IF(OR(ISNA(T13),T13&lt;=0),NA(),1-NORMSDIST((0-(S13))/(T13)))))</f>
        <v/>
      </c>
      <c r="W13" s="8" t="n">
        <v>1.5</v>
      </c>
      <c r="X13" s="9" t="n">
        <v>-110</v>
      </c>
      <c r="Y13" s="8">
        <f>-W13</f>
        <v/>
      </c>
      <c r="Z13" s="9" t="n">
        <v>-110</v>
      </c>
      <c r="AA13" s="9" t="n">
        <v>100</v>
      </c>
      <c r="AB13" s="9" t="n">
        <v>-120</v>
      </c>
      <c r="AC13" s="8" t="n">
        <v>46.5</v>
      </c>
      <c r="AD13" s="9" t="n">
        <v>-110</v>
      </c>
      <c r="AE13" s="9" t="n">
        <v>-110</v>
      </c>
      <c r="AF13" s="7">
        <f>IF(OR(ISNA(T13),T13&lt;=0,ISBLANK(W13)),NA(),NORMSDIST(((W13)-(S13))/(T13)))</f>
        <v/>
      </c>
      <c r="AG13" s="7">
        <f>IF(OR(ISNA(T13),T13&lt;=0,ISBLANK(Y13)),NA(),1-NORMSDIST(((-Y13)-(S13))/(T13)))</f>
        <v/>
      </c>
      <c r="AH13">
        <f>IF(BF13&gt;=BE13,H13,G13)</f>
        <v/>
      </c>
      <c r="AI13" s="7">
        <f>MAX(0,BF13,BE13)</f>
        <v/>
      </c>
      <c r="AJ13">
        <f>IF(AI13&lt;=0,"PASS",IF(AI13&lt;0.02,"PASS",IF(AI13&lt;0.04,"LEAN",IF(AI13&lt;0.07,"SMALL",IF(AI13&lt;0.10,"MEDIUM","STRONG")))))</f>
        <v/>
      </c>
      <c r="AK13" s="4">
        <f>IF(AI13&lt;0.01,1,IF(AI13&lt;0.02,2,IF(AI13&lt;0.03,3,IF(AI13&lt;0.04,4,IF(AI13&lt;0.05,5,IF(AI13&lt;0.06,6,IF(AI13&lt;0.07,7,IF(AI13&lt;0.08,8,IF(AI13&lt;0.10,9,10)))))))))</f>
        <v/>
      </c>
      <c r="AL13" s="7">
        <f>IF(AH13=H13,(AG13)*(IF(Z13&gt;0,Z13/100,100/ABS(Z13)))-(1-(AG13)),(AF13)*(IF(X13&gt;0,X13/100,100/ABS(X13)))-(1-(AF13)))</f>
        <v/>
      </c>
      <c r="AM13">
        <f>IF((V13)-(IF(OR(ISBLANK(AB13),AB13=0),NA(),IF(AB13&gt;0,100/(AB13+100),-(AB13)/(-(AB13)+100))))&gt;=(U13)-(IF(OR(ISBLANK(AA13),AA13=0),NA(),IF(AA13&gt;0,100/(AA13+100),-(AA13)/(-(AA13)+100)))),H13,G13)</f>
        <v/>
      </c>
      <c r="AN13" s="7">
        <f>MAX(0,(V13)-(IF(OR(ISBLANK(AB13),AB13=0),NA(),IF(AB13&gt;0,100/(AB13+100),-(AB13)/(-(AB13)+100)))),(U13)-(IF(OR(ISBLANK(AA13),AA13=0),NA(),IF(AA13&gt;0,100/(AA13+100),-(AA13)/(-(AA13)+100)))))</f>
        <v/>
      </c>
      <c r="AO13">
        <f>IF(AN13&lt;=0,"PASS",IF(AN13&lt;0.02,"PASS",IF(AN13&lt;0.04,"LEAN",IF(AN13&lt;0.07,"SMALL",IF(AN13&lt;0.10,"MEDIUM","STRONG")))))</f>
        <v/>
      </c>
      <c r="AP13" s="4">
        <f>IF(AN13&lt;0.01,1,IF(AN13&lt;0.02,2,IF(AN13&lt;0.03,3,IF(AN13&lt;0.04,4,IF(AN13&lt;0.05,5,IF(AN13&lt;0.06,6,IF(AN13&lt;0.07,7,IF(AN13&lt;0.08,8,IF(AN13&lt;0.10,9,10)))))))))</f>
        <v/>
      </c>
      <c r="AQ13" s="7">
        <f>IF(AM13=H13,(V13)*(IF(AB13&gt;0,AB13/100,100/ABS(AB13)))-(1-(V13)),(U13)*(IF(AA13&gt;0,AA13/100,100/ABS(AA13)))-(1-(U13)))</f>
        <v/>
      </c>
      <c r="AR13" s="6">
        <f>'Bets'!S13</f>
        <v/>
      </c>
      <c r="AS13" s="10">
        <f>IF(OR(ISBLANK('Bets'!W13),ISBLANK('Bets'!Y13)),16,('Bets'!Y13-'Bets'!W13)/(2.56310313109))</f>
        <v/>
      </c>
      <c r="AT13" s="6">
        <f>IF(OR(ISNA(P13),ISNA(O13)),NA(),(P13)*(AR13)+(1-(P13))*(O13))</f>
        <v/>
      </c>
      <c r="AU13" s="10">
        <f>IF(OR(ISNA(P13),ISBLANK(AS13)),NA(),(AS13)*SQRT(P13))</f>
        <v/>
      </c>
      <c r="AV13" s="7">
        <f>IF(OR(ISNA(AU13),AU13&lt;=0,ISBLANK(AC13)),NA(),1-NORMSDIST(((AC13)-(AT13))/(AU13)))</f>
        <v/>
      </c>
      <c r="AW13" s="7">
        <f>IF(ISNA(AV13),NA(),1-(AV13))</f>
        <v/>
      </c>
      <c r="AX13">
        <f>IF(BI13&gt;=BJ13,"OVER","UNDER")</f>
        <v/>
      </c>
      <c r="AY13" s="7">
        <f>MAX(0,BI13,BJ13)</f>
        <v/>
      </c>
      <c r="AZ13">
        <f>IF(AY13&lt;=0,"PASS",IF(AY13&lt;0.02,"PASS",IF(AY13&lt;0.04,"LEAN",IF(AY13&lt;0.07,"SMALL",IF(AY13&lt;0.10,"MEDIUM","STRONG")))))</f>
        <v/>
      </c>
      <c r="BA13" s="4">
        <f>IF(AY13&lt;0.01,1,IF(AY13&lt;0.02,2,IF(AY13&lt;0.03,3,IF(AY13&lt;0.04,4,IF(AY13&lt;0.05,5,IF(AY13&lt;0.06,6,IF(AY13&lt;0.07,7,IF(AY13&lt;0.08,8,IF(AY13&lt;0.10,9,10)))))))))</f>
        <v/>
      </c>
      <c r="BB13" s="7">
        <f>IF(AX13="OVER",(AV13)*(IF(AD13&gt;0,AD13/100,100/ABS(AD13)))-(1-(AV13)),(AW13)*(IF(AE13&gt;0,AE13/100,100/ABS(AE13)))-(1-(AW13)))</f>
        <v/>
      </c>
      <c r="BC13" s="7">
        <f>IF(OR(ISBLANK(X13),X13=0),NA(),IF(X13&gt;0,100/(X13+100),-(X13)/(-(X13)+100)))</f>
        <v/>
      </c>
      <c r="BD13" s="7">
        <f>IF(OR(ISBLANK(Z13),Z13=0),NA(),IF(Z13&gt;0,100/(Z13+100),-(Z13)/(-(Z13)+100)))</f>
        <v/>
      </c>
      <c r="BE13" s="7">
        <f>AF13-BC13</f>
        <v/>
      </c>
      <c r="BF13" s="7">
        <f>AG13-BD13</f>
        <v/>
      </c>
      <c r="BG13" s="7">
        <f>IF(OR(ISBLANK(AD13),AD13=0),NA(),IF(AD13&gt;0,100/(AD13+100),-(AD13)/(-(AD13)+100)))</f>
        <v/>
      </c>
      <c r="BH13" s="7">
        <f>IF(OR(ISBLANK(AE13),AE13=0),NA(),IF(AE13&gt;0,100/(AE13+100),-(AE13)/(-(AE13)+100)))</f>
        <v/>
      </c>
      <c r="BI13" s="7">
        <f>AV13-BG13</f>
        <v/>
      </c>
      <c r="BJ13" s="7">
        <f>AW13-BH13</f>
        <v/>
      </c>
    </row>
    <row r="14">
      <c r="A14" s="4">
        <f>'Bets'!A14</f>
        <v/>
      </c>
      <c r="B14" s="4">
        <f>'Bets'!B14</f>
        <v/>
      </c>
      <c r="C14">
        <f>'Bets'!C14</f>
        <v/>
      </c>
      <c r="D14">
        <f>'Bets'!D14</f>
        <v/>
      </c>
      <c r="E14" s="5">
        <f>'Bets'!E14</f>
        <v/>
      </c>
      <c r="F14">
        <f>'Bets'!F14</f>
        <v/>
      </c>
      <c r="G14">
        <f>'Bets'!G14</f>
        <v/>
      </c>
      <c r="H14">
        <f>'Bets'!H14</f>
        <v/>
      </c>
      <c r="I14" s="9" t="n">
        <v>1</v>
      </c>
      <c r="J14" s="9" t="n">
        <v>15</v>
      </c>
      <c r="K14" s="4">
        <f>IF(OR(ISBLANK(I14),ISBLANK(J14)),NA(),MAX(0,MIN(60,(4-(I14))*15+(J14))))</f>
        <v/>
      </c>
      <c r="L14" s="9" t="n">
        <v>0</v>
      </c>
      <c r="M14" s="9" t="n">
        <v>0</v>
      </c>
      <c r="N14" s="6">
        <f>IF(OR(ISBLANK(M14),ISBLANK(L14)),NA(),M14-L14)</f>
        <v/>
      </c>
      <c r="O14" s="6">
        <f>IF(OR(ISBLANK(M14),ISBLANK(L14)),NA(),M14+L14)</f>
        <v/>
      </c>
      <c r="P14" s="7">
        <f>IF(ISBLANK(K14),NA(),MAX(0,MIN(1,K14/60)))</f>
        <v/>
      </c>
      <c r="Q14" s="6">
        <f>'Bets'!R14</f>
        <v/>
      </c>
      <c r="R14" s="10">
        <f>IF(OR(ISBLANK('Bets'!T14),ISBLANK('Bets'!V14)),13,('Bets'!V14-'Bets'!T14)/(2.56310313109))</f>
        <v/>
      </c>
      <c r="S14" s="6">
        <f>IF(OR(ISNA(P14),ISNA(N14)),NA(),(P14)*(Q14)+(1-(P14))*(N14))</f>
        <v/>
      </c>
      <c r="T14" s="10">
        <f>IF(OR(ISNA(P14),ISBLANK(R14)),NA(),(R14)*SQRT(P14))</f>
        <v/>
      </c>
      <c r="U14" s="7">
        <f>IF(ISNA(V14),NA(),1-(V14))</f>
        <v/>
      </c>
      <c r="V14" s="7">
        <f>IF(ISNA(P14),NA(),IF(P14&gt;=0.999999,'Bets'!O14,IF(OR(ISNA(T14),T14&lt;=0),NA(),1-NORMSDIST((0-(S14))/(T14)))))</f>
        <v/>
      </c>
      <c r="W14" s="8" t="n">
        <v>3</v>
      </c>
      <c r="X14" s="9" t="n">
        <v>-110</v>
      </c>
      <c r="Y14" s="8">
        <f>-W14</f>
        <v/>
      </c>
      <c r="Z14" s="9" t="n">
        <v>-110</v>
      </c>
      <c r="AA14" s="9" t="n">
        <v>140</v>
      </c>
      <c r="AB14" s="9" t="n">
        <v>-166</v>
      </c>
      <c r="AC14" s="8" t="n">
        <v>40.5</v>
      </c>
      <c r="AD14" s="9" t="n">
        <v>-110</v>
      </c>
      <c r="AE14" s="9" t="n">
        <v>-110</v>
      </c>
      <c r="AF14" s="7">
        <f>IF(OR(ISNA(T14),T14&lt;=0,ISBLANK(W14)),NA(),NORMSDIST(((W14)-(S14))/(T14)))</f>
        <v/>
      </c>
      <c r="AG14" s="7">
        <f>IF(OR(ISNA(T14),T14&lt;=0,ISBLANK(Y14)),NA(),1-NORMSDIST(((-Y14)-(S14))/(T14)))</f>
        <v/>
      </c>
      <c r="AH14">
        <f>IF(BF14&gt;=BE14,H14,G14)</f>
        <v/>
      </c>
      <c r="AI14" s="7">
        <f>MAX(0,BF14,BE14)</f>
        <v/>
      </c>
      <c r="AJ14">
        <f>IF(AI14&lt;=0,"PASS",IF(AI14&lt;0.02,"PASS",IF(AI14&lt;0.04,"LEAN",IF(AI14&lt;0.07,"SMALL",IF(AI14&lt;0.10,"MEDIUM","STRONG")))))</f>
        <v/>
      </c>
      <c r="AK14" s="4">
        <f>IF(AI14&lt;0.01,1,IF(AI14&lt;0.02,2,IF(AI14&lt;0.03,3,IF(AI14&lt;0.04,4,IF(AI14&lt;0.05,5,IF(AI14&lt;0.06,6,IF(AI14&lt;0.07,7,IF(AI14&lt;0.08,8,IF(AI14&lt;0.10,9,10)))))))))</f>
        <v/>
      </c>
      <c r="AL14" s="7">
        <f>IF(AH14=H14,(AG14)*(IF(Z14&gt;0,Z14/100,100/ABS(Z14)))-(1-(AG14)),(AF14)*(IF(X14&gt;0,X14/100,100/ABS(X14)))-(1-(AF14)))</f>
        <v/>
      </c>
      <c r="AM14">
        <f>IF((V14)-(IF(OR(ISBLANK(AB14),AB14=0),NA(),IF(AB14&gt;0,100/(AB14+100),-(AB14)/(-(AB14)+100))))&gt;=(U14)-(IF(OR(ISBLANK(AA14),AA14=0),NA(),IF(AA14&gt;0,100/(AA14+100),-(AA14)/(-(AA14)+100)))),H14,G14)</f>
        <v/>
      </c>
      <c r="AN14" s="7">
        <f>MAX(0,(V14)-(IF(OR(ISBLANK(AB14),AB14=0),NA(),IF(AB14&gt;0,100/(AB14+100),-(AB14)/(-(AB14)+100)))),(U14)-(IF(OR(ISBLANK(AA14),AA14=0),NA(),IF(AA14&gt;0,100/(AA14+100),-(AA14)/(-(AA14)+100)))))</f>
        <v/>
      </c>
      <c r="AO14">
        <f>IF(AN14&lt;=0,"PASS",IF(AN14&lt;0.02,"PASS",IF(AN14&lt;0.04,"LEAN",IF(AN14&lt;0.07,"SMALL",IF(AN14&lt;0.10,"MEDIUM","STRONG")))))</f>
        <v/>
      </c>
      <c r="AP14" s="4">
        <f>IF(AN14&lt;0.01,1,IF(AN14&lt;0.02,2,IF(AN14&lt;0.03,3,IF(AN14&lt;0.04,4,IF(AN14&lt;0.05,5,IF(AN14&lt;0.06,6,IF(AN14&lt;0.07,7,IF(AN14&lt;0.08,8,IF(AN14&lt;0.10,9,10)))))))))</f>
        <v/>
      </c>
      <c r="AQ14" s="7">
        <f>IF(AM14=H14,(V14)*(IF(AB14&gt;0,AB14/100,100/ABS(AB14)))-(1-(V14)),(U14)*(IF(AA14&gt;0,AA14/100,100/ABS(AA14)))-(1-(U14)))</f>
        <v/>
      </c>
      <c r="AR14" s="6">
        <f>'Bets'!S14</f>
        <v/>
      </c>
      <c r="AS14" s="10">
        <f>IF(OR(ISBLANK('Bets'!W14),ISBLANK('Bets'!Y14)),16,('Bets'!Y14-'Bets'!W14)/(2.56310313109))</f>
        <v/>
      </c>
      <c r="AT14" s="6">
        <f>IF(OR(ISNA(P14),ISNA(O14)),NA(),(P14)*(AR14)+(1-(P14))*(O14))</f>
        <v/>
      </c>
      <c r="AU14" s="10">
        <f>IF(OR(ISNA(P14),ISBLANK(AS14)),NA(),(AS14)*SQRT(P14))</f>
        <v/>
      </c>
      <c r="AV14" s="7">
        <f>IF(OR(ISNA(AU14),AU14&lt;=0,ISBLANK(AC14)),NA(),1-NORMSDIST(((AC14)-(AT14))/(AU14)))</f>
        <v/>
      </c>
      <c r="AW14" s="7">
        <f>IF(ISNA(AV14),NA(),1-(AV14))</f>
        <v/>
      </c>
      <c r="AX14">
        <f>IF(BI14&gt;=BJ14,"OVER","UNDER")</f>
        <v/>
      </c>
      <c r="AY14" s="7">
        <f>MAX(0,BI14,BJ14)</f>
        <v/>
      </c>
      <c r="AZ14">
        <f>IF(AY14&lt;=0,"PASS",IF(AY14&lt;0.02,"PASS",IF(AY14&lt;0.04,"LEAN",IF(AY14&lt;0.07,"SMALL",IF(AY14&lt;0.10,"MEDIUM","STRONG")))))</f>
        <v/>
      </c>
      <c r="BA14" s="4">
        <f>IF(AY14&lt;0.01,1,IF(AY14&lt;0.02,2,IF(AY14&lt;0.03,3,IF(AY14&lt;0.04,4,IF(AY14&lt;0.05,5,IF(AY14&lt;0.06,6,IF(AY14&lt;0.07,7,IF(AY14&lt;0.08,8,IF(AY14&lt;0.10,9,10)))))))))</f>
        <v/>
      </c>
      <c r="BB14" s="7">
        <f>IF(AX14="OVER",(AV14)*(IF(AD14&gt;0,AD14/100,100/ABS(AD14)))-(1-(AV14)),(AW14)*(IF(AE14&gt;0,AE14/100,100/ABS(AE14)))-(1-(AW14)))</f>
        <v/>
      </c>
      <c r="BC14" s="7">
        <f>IF(OR(ISBLANK(X14),X14=0),NA(),IF(X14&gt;0,100/(X14+100),-(X14)/(-(X14)+100)))</f>
        <v/>
      </c>
      <c r="BD14" s="7">
        <f>IF(OR(ISBLANK(Z14),Z14=0),NA(),IF(Z14&gt;0,100/(Z14+100),-(Z14)/(-(Z14)+100)))</f>
        <v/>
      </c>
      <c r="BE14" s="7">
        <f>AF14-BC14</f>
        <v/>
      </c>
      <c r="BF14" s="7">
        <f>AG14-BD14</f>
        <v/>
      </c>
      <c r="BG14" s="7">
        <f>IF(OR(ISBLANK(AD14),AD14=0),NA(),IF(AD14&gt;0,100/(AD14+100),-(AD14)/(-(AD14)+100)))</f>
        <v/>
      </c>
      <c r="BH14" s="7">
        <f>IF(OR(ISBLANK(AE14),AE14=0),NA(),IF(AE14&gt;0,100/(AE14+100),-(AE14)/(-(AE14)+100)))</f>
        <v/>
      </c>
      <c r="BI14" s="7">
        <f>AV14-BG14</f>
        <v/>
      </c>
      <c r="BJ14" s="7">
        <f>AW14-BH14</f>
        <v/>
      </c>
    </row>
    <row r="15">
      <c r="A15" s="4">
        <f>'Bets'!A15</f>
        <v/>
      </c>
      <c r="B15" s="4">
        <f>'Bets'!B15</f>
        <v/>
      </c>
      <c r="C15">
        <f>'Bets'!C15</f>
        <v/>
      </c>
      <c r="D15">
        <f>'Bets'!D15</f>
        <v/>
      </c>
      <c r="E15" s="5">
        <f>'Bets'!E15</f>
        <v/>
      </c>
      <c r="F15">
        <f>'Bets'!F15</f>
        <v/>
      </c>
      <c r="G15">
        <f>'Bets'!G15</f>
        <v/>
      </c>
      <c r="H15">
        <f>'Bets'!H15</f>
        <v/>
      </c>
      <c r="I15" s="9" t="n">
        <v>1</v>
      </c>
      <c r="J15" s="9" t="n">
        <v>15</v>
      </c>
      <c r="K15" s="4">
        <f>IF(OR(ISBLANK(I15),ISBLANK(J15)),NA(),MAX(0,MIN(60,(4-(I15))*15+(J15))))</f>
        <v/>
      </c>
      <c r="L15" s="9" t="n">
        <v>0</v>
      </c>
      <c r="M15" s="9" t="n">
        <v>0</v>
      </c>
      <c r="N15" s="6">
        <f>IF(OR(ISBLANK(M15),ISBLANK(L15)),NA(),M15-L15)</f>
        <v/>
      </c>
      <c r="O15" s="6">
        <f>IF(OR(ISBLANK(M15),ISBLANK(L15)),NA(),M15+L15)</f>
        <v/>
      </c>
      <c r="P15" s="7">
        <f>IF(ISBLANK(K15),NA(),MAX(0,MIN(1,K15/60)))</f>
        <v/>
      </c>
      <c r="Q15" s="6">
        <f>'Bets'!R15</f>
        <v/>
      </c>
      <c r="R15" s="10">
        <f>IF(OR(ISBLANK('Bets'!T15),ISBLANK('Bets'!V15)),13,('Bets'!V15-'Bets'!T15)/(2.56310313109))</f>
        <v/>
      </c>
      <c r="S15" s="6">
        <f>IF(OR(ISNA(P15),ISNA(N15)),NA(),(P15)*(Q15)+(1-(P15))*(N15))</f>
        <v/>
      </c>
      <c r="T15" s="10">
        <f>IF(OR(ISNA(P15),ISBLANK(R15)),NA(),(R15)*SQRT(P15))</f>
        <v/>
      </c>
      <c r="U15" s="7">
        <f>IF(ISNA(V15),NA(),1-(V15))</f>
        <v/>
      </c>
      <c r="V15" s="7">
        <f>IF(ISNA(P15),NA(),IF(P15&gt;=0.999999,'Bets'!O15,IF(OR(ISNA(T15),T15&lt;=0),NA(),1-NORMSDIST((0-(S15))/(T15)))))</f>
        <v/>
      </c>
      <c r="W15" s="8" t="n">
        <v>5.5</v>
      </c>
      <c r="X15" s="9" t="n">
        <v>-110</v>
      </c>
      <c r="Y15" s="8">
        <f>-W15</f>
        <v/>
      </c>
      <c r="Z15" s="9" t="n">
        <v>-110</v>
      </c>
      <c r="AA15" s="9" t="n">
        <v>180</v>
      </c>
      <c r="AB15" s="9" t="n">
        <v>-218</v>
      </c>
      <c r="AC15" s="8" t="n">
        <v>44.5</v>
      </c>
      <c r="AD15" s="9" t="n">
        <v>-110</v>
      </c>
      <c r="AE15" s="9" t="n">
        <v>-110</v>
      </c>
      <c r="AF15" s="7">
        <f>IF(OR(ISNA(T15),T15&lt;=0,ISBLANK(W15)),NA(),NORMSDIST(((W15)-(S15))/(T15)))</f>
        <v/>
      </c>
      <c r="AG15" s="7">
        <f>IF(OR(ISNA(T15),T15&lt;=0,ISBLANK(Y15)),NA(),1-NORMSDIST(((-Y15)-(S15))/(T15)))</f>
        <v/>
      </c>
      <c r="AH15">
        <f>IF(BF15&gt;=BE15,H15,G15)</f>
        <v/>
      </c>
      <c r="AI15" s="7">
        <f>MAX(0,BF15,BE15)</f>
        <v/>
      </c>
      <c r="AJ15">
        <f>IF(AI15&lt;=0,"PASS",IF(AI15&lt;0.02,"PASS",IF(AI15&lt;0.04,"LEAN",IF(AI15&lt;0.07,"SMALL",IF(AI15&lt;0.10,"MEDIUM","STRONG")))))</f>
        <v/>
      </c>
      <c r="AK15" s="4">
        <f>IF(AI15&lt;0.01,1,IF(AI15&lt;0.02,2,IF(AI15&lt;0.03,3,IF(AI15&lt;0.04,4,IF(AI15&lt;0.05,5,IF(AI15&lt;0.06,6,IF(AI15&lt;0.07,7,IF(AI15&lt;0.08,8,IF(AI15&lt;0.10,9,10)))))))))</f>
        <v/>
      </c>
      <c r="AL15" s="7">
        <f>IF(AH15=H15,(AG15)*(IF(Z15&gt;0,Z15/100,100/ABS(Z15)))-(1-(AG15)),(AF15)*(IF(X15&gt;0,X15/100,100/ABS(X15)))-(1-(AF15)))</f>
        <v/>
      </c>
      <c r="AM15">
        <f>IF((V15)-(IF(OR(ISBLANK(AB15),AB15=0),NA(),IF(AB15&gt;0,100/(AB15+100),-(AB15)/(-(AB15)+100))))&gt;=(U15)-(IF(OR(ISBLANK(AA15),AA15=0),NA(),IF(AA15&gt;0,100/(AA15+100),-(AA15)/(-(AA15)+100)))),H15,G15)</f>
        <v/>
      </c>
      <c r="AN15" s="7">
        <f>MAX(0,(V15)-(IF(OR(ISBLANK(AB15),AB15=0),NA(),IF(AB15&gt;0,100/(AB15+100),-(AB15)/(-(AB15)+100)))),(U15)-(IF(OR(ISBLANK(AA15),AA15=0),NA(),IF(AA15&gt;0,100/(AA15+100),-(AA15)/(-(AA15)+100)))))</f>
        <v/>
      </c>
      <c r="AO15">
        <f>IF(AN15&lt;=0,"PASS",IF(AN15&lt;0.02,"PASS",IF(AN15&lt;0.04,"LEAN",IF(AN15&lt;0.07,"SMALL",IF(AN15&lt;0.10,"MEDIUM","STRONG")))))</f>
        <v/>
      </c>
      <c r="AP15" s="4">
        <f>IF(AN15&lt;0.01,1,IF(AN15&lt;0.02,2,IF(AN15&lt;0.03,3,IF(AN15&lt;0.04,4,IF(AN15&lt;0.05,5,IF(AN15&lt;0.06,6,IF(AN15&lt;0.07,7,IF(AN15&lt;0.08,8,IF(AN15&lt;0.10,9,10)))))))))</f>
        <v/>
      </c>
      <c r="AQ15" s="7">
        <f>IF(AM15=H15,(V15)*(IF(AB15&gt;0,AB15/100,100/ABS(AB15)))-(1-(V15)),(U15)*(IF(AA15&gt;0,AA15/100,100/ABS(AA15)))-(1-(U15)))</f>
        <v/>
      </c>
      <c r="AR15" s="6">
        <f>'Bets'!S15</f>
        <v/>
      </c>
      <c r="AS15" s="10">
        <f>IF(OR(ISBLANK('Bets'!W15),ISBLANK('Bets'!Y15)),16,('Bets'!Y15-'Bets'!W15)/(2.56310313109))</f>
        <v/>
      </c>
      <c r="AT15" s="6">
        <f>IF(OR(ISNA(P15),ISNA(O15)),NA(),(P15)*(AR15)+(1-(P15))*(O15))</f>
        <v/>
      </c>
      <c r="AU15" s="10">
        <f>IF(OR(ISNA(P15),ISBLANK(AS15)),NA(),(AS15)*SQRT(P15))</f>
        <v/>
      </c>
      <c r="AV15" s="7">
        <f>IF(OR(ISNA(AU15),AU15&lt;=0,ISBLANK(AC15)),NA(),1-NORMSDIST(((AC15)-(AT15))/(AU15)))</f>
        <v/>
      </c>
      <c r="AW15" s="7">
        <f>IF(ISNA(AV15),NA(),1-(AV15))</f>
        <v/>
      </c>
      <c r="AX15">
        <f>IF(BI15&gt;=BJ15,"OVER","UNDER")</f>
        <v/>
      </c>
      <c r="AY15" s="7">
        <f>MAX(0,BI15,BJ15)</f>
        <v/>
      </c>
      <c r="AZ15">
        <f>IF(AY15&lt;=0,"PASS",IF(AY15&lt;0.02,"PASS",IF(AY15&lt;0.04,"LEAN",IF(AY15&lt;0.07,"SMALL",IF(AY15&lt;0.10,"MEDIUM","STRONG")))))</f>
        <v/>
      </c>
      <c r="BA15" s="4">
        <f>IF(AY15&lt;0.01,1,IF(AY15&lt;0.02,2,IF(AY15&lt;0.03,3,IF(AY15&lt;0.04,4,IF(AY15&lt;0.05,5,IF(AY15&lt;0.06,6,IF(AY15&lt;0.07,7,IF(AY15&lt;0.08,8,IF(AY15&lt;0.10,9,10)))))))))</f>
        <v/>
      </c>
      <c r="BB15" s="7">
        <f>IF(AX15="OVER",(AV15)*(IF(AD15&gt;0,AD15/100,100/ABS(AD15)))-(1-(AV15)),(AW15)*(IF(AE15&gt;0,AE15/100,100/ABS(AE15)))-(1-(AW15)))</f>
        <v/>
      </c>
      <c r="BC15" s="7">
        <f>IF(OR(ISBLANK(X15),X15=0),NA(),IF(X15&gt;0,100/(X15+100),-(X15)/(-(X15)+100)))</f>
        <v/>
      </c>
      <c r="BD15" s="7">
        <f>IF(OR(ISBLANK(Z15),Z15=0),NA(),IF(Z15&gt;0,100/(Z15+100),-(Z15)/(-(Z15)+100)))</f>
        <v/>
      </c>
      <c r="BE15" s="7">
        <f>AF15-BC15</f>
        <v/>
      </c>
      <c r="BF15" s="7">
        <f>AG15-BD15</f>
        <v/>
      </c>
      <c r="BG15" s="7">
        <f>IF(OR(ISBLANK(AD15),AD15=0),NA(),IF(AD15&gt;0,100/(AD15+100),-(AD15)/(-(AD15)+100)))</f>
        <v/>
      </c>
      <c r="BH15" s="7">
        <f>IF(OR(ISBLANK(AE15),AE15=0),NA(),IF(AE15&gt;0,100/(AE15+100),-(AE15)/(-(AE15)+100)))</f>
        <v/>
      </c>
      <c r="BI15" s="7">
        <f>AV15-BG15</f>
        <v/>
      </c>
      <c r="BJ15" s="7">
        <f>AW15-BH15</f>
        <v/>
      </c>
    </row>
    <row r="16">
      <c r="A16" s="4">
        <f>'Bets'!A16</f>
        <v/>
      </c>
      <c r="B16" s="4">
        <f>'Bets'!B16</f>
        <v/>
      </c>
      <c r="C16">
        <f>'Bets'!C16</f>
        <v/>
      </c>
      <c r="D16">
        <f>'Bets'!D16</f>
        <v/>
      </c>
      <c r="E16" s="5">
        <f>'Bets'!E16</f>
        <v/>
      </c>
      <c r="F16">
        <f>'Bets'!F16</f>
        <v/>
      </c>
      <c r="G16">
        <f>'Bets'!G16</f>
        <v/>
      </c>
      <c r="H16">
        <f>'Bets'!H16</f>
        <v/>
      </c>
      <c r="I16" s="9" t="n">
        <v>1</v>
      </c>
      <c r="J16" s="9" t="n">
        <v>15</v>
      </c>
      <c r="K16" s="4">
        <f>IF(OR(ISBLANK(I16),ISBLANK(J16)),NA(),MAX(0,MIN(60,(4-(I16))*15+(J16))))</f>
        <v/>
      </c>
      <c r="L16" s="9" t="n">
        <v>0</v>
      </c>
      <c r="M16" s="9" t="n">
        <v>0</v>
      </c>
      <c r="N16" s="6">
        <f>IF(OR(ISBLANK(M16),ISBLANK(L16)),NA(),M16-L16)</f>
        <v/>
      </c>
      <c r="O16" s="6">
        <f>IF(OR(ISBLANK(M16),ISBLANK(L16)),NA(),M16+L16)</f>
        <v/>
      </c>
      <c r="P16" s="7">
        <f>IF(ISBLANK(K16),NA(),MAX(0,MIN(1,K16/60)))</f>
        <v/>
      </c>
      <c r="Q16" s="6">
        <f>'Bets'!R16</f>
        <v/>
      </c>
      <c r="R16" s="10">
        <f>IF(OR(ISBLANK('Bets'!T16),ISBLANK('Bets'!V16)),13,('Bets'!V16-'Bets'!T16)/(2.56310313109))</f>
        <v/>
      </c>
      <c r="S16" s="6">
        <f>IF(OR(ISNA(P16),ISNA(N16)),NA(),(P16)*(Q16)+(1-(P16))*(N16))</f>
        <v/>
      </c>
      <c r="T16" s="10">
        <f>IF(OR(ISNA(P16),ISBLANK(R16)),NA(),(R16)*SQRT(P16))</f>
        <v/>
      </c>
      <c r="U16" s="7">
        <f>IF(ISNA(V16),NA(),1-(V16))</f>
        <v/>
      </c>
      <c r="V16" s="7">
        <f>IF(ISNA(P16),NA(),IF(P16&gt;=0.999999,'Bets'!O16,IF(OR(ISNA(T16),T16&lt;=0),NA(),1-NORMSDIST((0-(S16))/(T16)))))</f>
        <v/>
      </c>
      <c r="W16" s="8" t="n">
        <v>-3</v>
      </c>
      <c r="X16" s="9" t="n">
        <v>-110</v>
      </c>
      <c r="Y16" s="8">
        <f>-W16</f>
        <v/>
      </c>
      <c r="Z16" s="9" t="n">
        <v>-110</v>
      </c>
      <c r="AA16" s="9" t="n">
        <v>-162</v>
      </c>
      <c r="AB16" s="9" t="n">
        <v>136</v>
      </c>
      <c r="AC16" s="8" t="n">
        <v>48.5</v>
      </c>
      <c r="AD16" s="9" t="n">
        <v>-110</v>
      </c>
      <c r="AE16" s="9" t="n">
        <v>-110</v>
      </c>
      <c r="AF16" s="7">
        <f>IF(OR(ISNA(T16),T16&lt;=0,ISBLANK(W16)),NA(),NORMSDIST(((W16)-(S16))/(T16)))</f>
        <v/>
      </c>
      <c r="AG16" s="7">
        <f>IF(OR(ISNA(T16),T16&lt;=0,ISBLANK(Y16)),NA(),1-NORMSDIST(((-Y16)-(S16))/(T16)))</f>
        <v/>
      </c>
      <c r="AH16">
        <f>IF(BF16&gt;=BE16,H16,G16)</f>
        <v/>
      </c>
      <c r="AI16" s="7">
        <f>MAX(0,BF16,BE16)</f>
        <v/>
      </c>
      <c r="AJ16">
        <f>IF(AI16&lt;=0,"PASS",IF(AI16&lt;0.02,"PASS",IF(AI16&lt;0.04,"LEAN",IF(AI16&lt;0.07,"SMALL",IF(AI16&lt;0.10,"MEDIUM","STRONG")))))</f>
        <v/>
      </c>
      <c r="AK16" s="4">
        <f>IF(AI16&lt;0.01,1,IF(AI16&lt;0.02,2,IF(AI16&lt;0.03,3,IF(AI16&lt;0.04,4,IF(AI16&lt;0.05,5,IF(AI16&lt;0.06,6,IF(AI16&lt;0.07,7,IF(AI16&lt;0.08,8,IF(AI16&lt;0.10,9,10)))))))))</f>
        <v/>
      </c>
      <c r="AL16" s="7">
        <f>IF(AH16=H16,(AG16)*(IF(Z16&gt;0,Z16/100,100/ABS(Z16)))-(1-(AG16)),(AF16)*(IF(X16&gt;0,X16/100,100/ABS(X16)))-(1-(AF16)))</f>
        <v/>
      </c>
      <c r="AM16">
        <f>IF((V16)-(IF(OR(ISBLANK(AB16),AB16=0),NA(),IF(AB16&gt;0,100/(AB16+100),-(AB16)/(-(AB16)+100))))&gt;=(U16)-(IF(OR(ISBLANK(AA16),AA16=0),NA(),IF(AA16&gt;0,100/(AA16+100),-(AA16)/(-(AA16)+100)))),H16,G16)</f>
        <v/>
      </c>
      <c r="AN16" s="7">
        <f>MAX(0,(V16)-(IF(OR(ISBLANK(AB16),AB16=0),NA(),IF(AB16&gt;0,100/(AB16+100),-(AB16)/(-(AB16)+100)))),(U16)-(IF(OR(ISBLANK(AA16),AA16=0),NA(),IF(AA16&gt;0,100/(AA16+100),-(AA16)/(-(AA16)+100)))))</f>
        <v/>
      </c>
      <c r="AO16">
        <f>IF(AN16&lt;=0,"PASS",IF(AN16&lt;0.02,"PASS",IF(AN16&lt;0.04,"LEAN",IF(AN16&lt;0.07,"SMALL",IF(AN16&lt;0.10,"MEDIUM","STRONG")))))</f>
        <v/>
      </c>
      <c r="AP16" s="4">
        <f>IF(AN16&lt;0.01,1,IF(AN16&lt;0.02,2,IF(AN16&lt;0.03,3,IF(AN16&lt;0.04,4,IF(AN16&lt;0.05,5,IF(AN16&lt;0.06,6,IF(AN16&lt;0.07,7,IF(AN16&lt;0.08,8,IF(AN16&lt;0.10,9,10)))))))))</f>
        <v/>
      </c>
      <c r="AQ16" s="7">
        <f>IF(AM16=H16,(V16)*(IF(AB16&gt;0,AB16/100,100/ABS(AB16)))-(1-(V16)),(U16)*(IF(AA16&gt;0,AA16/100,100/ABS(AA16)))-(1-(U16)))</f>
        <v/>
      </c>
      <c r="AR16" s="6">
        <f>'Bets'!S16</f>
        <v/>
      </c>
      <c r="AS16" s="10">
        <f>IF(OR(ISBLANK('Bets'!W16),ISBLANK('Bets'!Y16)),16,('Bets'!Y16-'Bets'!W16)/(2.56310313109))</f>
        <v/>
      </c>
      <c r="AT16" s="6">
        <f>IF(OR(ISNA(P16),ISNA(O16)),NA(),(P16)*(AR16)+(1-(P16))*(O16))</f>
        <v/>
      </c>
      <c r="AU16" s="10">
        <f>IF(OR(ISNA(P16),ISBLANK(AS16)),NA(),(AS16)*SQRT(P16))</f>
        <v/>
      </c>
      <c r="AV16" s="7">
        <f>IF(OR(ISNA(AU16),AU16&lt;=0,ISBLANK(AC16)),NA(),1-NORMSDIST(((AC16)-(AT16))/(AU16)))</f>
        <v/>
      </c>
      <c r="AW16" s="7">
        <f>IF(ISNA(AV16),NA(),1-(AV16))</f>
        <v/>
      </c>
      <c r="AX16">
        <f>IF(BI16&gt;=BJ16,"OVER","UNDER")</f>
        <v/>
      </c>
      <c r="AY16" s="7">
        <f>MAX(0,BI16,BJ16)</f>
        <v/>
      </c>
      <c r="AZ16">
        <f>IF(AY16&lt;=0,"PASS",IF(AY16&lt;0.02,"PASS",IF(AY16&lt;0.04,"LEAN",IF(AY16&lt;0.07,"SMALL",IF(AY16&lt;0.10,"MEDIUM","STRONG")))))</f>
        <v/>
      </c>
      <c r="BA16" s="4">
        <f>IF(AY16&lt;0.01,1,IF(AY16&lt;0.02,2,IF(AY16&lt;0.03,3,IF(AY16&lt;0.04,4,IF(AY16&lt;0.05,5,IF(AY16&lt;0.06,6,IF(AY16&lt;0.07,7,IF(AY16&lt;0.08,8,IF(AY16&lt;0.10,9,10)))))))))</f>
        <v/>
      </c>
      <c r="BB16" s="7">
        <f>IF(AX16="OVER",(AV16)*(IF(AD16&gt;0,AD16/100,100/ABS(AD16)))-(1-(AV16)),(AW16)*(IF(AE16&gt;0,AE16/100,100/ABS(AE16)))-(1-(AW16)))</f>
        <v/>
      </c>
      <c r="BC16" s="7">
        <f>IF(OR(ISBLANK(X16),X16=0),NA(),IF(X16&gt;0,100/(X16+100),-(X16)/(-(X16)+100)))</f>
        <v/>
      </c>
      <c r="BD16" s="7">
        <f>IF(OR(ISBLANK(Z16),Z16=0),NA(),IF(Z16&gt;0,100/(Z16+100),-(Z16)/(-(Z16)+100)))</f>
        <v/>
      </c>
      <c r="BE16" s="7">
        <f>AF16-BC16</f>
        <v/>
      </c>
      <c r="BF16" s="7">
        <f>AG16-BD16</f>
        <v/>
      </c>
      <c r="BG16" s="7">
        <f>IF(OR(ISBLANK(AD16),AD16=0),NA(),IF(AD16&gt;0,100/(AD16+100),-(AD16)/(-(AD16)+100)))</f>
        <v/>
      </c>
      <c r="BH16" s="7">
        <f>IF(OR(ISBLANK(AE16),AE16=0),NA(),IF(AE16&gt;0,100/(AE16+100),-(AE16)/(-(AE16)+100)))</f>
        <v/>
      </c>
      <c r="BI16" s="7">
        <f>AV16-BG16</f>
        <v/>
      </c>
      <c r="BJ16" s="7">
        <f>AW16-BH16</f>
        <v/>
      </c>
    </row>
    <row r="17">
      <c r="A17" s="4">
        <f>'Bets'!A17</f>
        <v/>
      </c>
      <c r="B17" s="4">
        <f>'Bets'!B17</f>
        <v/>
      </c>
      <c r="C17">
        <f>'Bets'!C17</f>
        <v/>
      </c>
      <c r="D17">
        <f>'Bets'!D17</f>
        <v/>
      </c>
      <c r="E17" s="5">
        <f>'Bets'!E17</f>
        <v/>
      </c>
      <c r="F17">
        <f>'Bets'!F17</f>
        <v/>
      </c>
      <c r="G17">
        <f>'Bets'!G17</f>
        <v/>
      </c>
      <c r="H17">
        <f>'Bets'!H17</f>
        <v/>
      </c>
      <c r="I17" s="9" t="n">
        <v>1</v>
      </c>
      <c r="J17" s="9" t="n">
        <v>15</v>
      </c>
      <c r="K17" s="4">
        <f>IF(OR(ISBLANK(I17),ISBLANK(J17)),NA(),MAX(0,MIN(60,(4-(I17))*15+(J17))))</f>
        <v/>
      </c>
      <c r="L17" s="9" t="n">
        <v>0</v>
      </c>
      <c r="M17" s="9" t="n">
        <v>0</v>
      </c>
      <c r="N17" s="6">
        <f>IF(OR(ISBLANK(M17),ISBLANK(L17)),NA(),M17-L17)</f>
        <v/>
      </c>
      <c r="O17" s="6">
        <f>IF(OR(ISBLANK(M17),ISBLANK(L17)),NA(),M17+L17)</f>
        <v/>
      </c>
      <c r="P17" s="7">
        <f>IF(ISBLANK(K17),NA(),MAX(0,MIN(1,K17/60)))</f>
        <v/>
      </c>
      <c r="Q17" s="6">
        <f>'Bets'!R17</f>
        <v/>
      </c>
      <c r="R17" s="10">
        <f>IF(OR(ISBLANK('Bets'!T17),ISBLANK('Bets'!V17)),13,('Bets'!V17-'Bets'!T17)/(2.56310313109))</f>
        <v/>
      </c>
      <c r="S17" s="6">
        <f>IF(OR(ISNA(P17),ISNA(N17)),NA(),(P17)*(Q17)+(1-(P17))*(N17))</f>
        <v/>
      </c>
      <c r="T17" s="10">
        <f>IF(OR(ISNA(P17),ISBLANK(R17)),NA(),(R17)*SQRT(P17))</f>
        <v/>
      </c>
      <c r="U17" s="7">
        <f>IF(ISNA(V17),NA(),1-(V17))</f>
        <v/>
      </c>
      <c r="V17" s="7">
        <f>IF(ISNA(P17),NA(),IF(P17&gt;=0.999999,'Bets'!O17,IF(OR(ISNA(T17),T17&lt;=0),NA(),1-NORMSDIST((0-(S17))/(T17)))))</f>
        <v/>
      </c>
      <c r="W17" s="8" t="n">
        <v>3</v>
      </c>
      <c r="X17" s="9" t="n">
        <v>-110</v>
      </c>
      <c r="Y17" s="8">
        <f>-W17</f>
        <v/>
      </c>
      <c r="Z17" s="9" t="n">
        <v>-110</v>
      </c>
      <c r="AA17" s="9" t="n">
        <v>130</v>
      </c>
      <c r="AB17" s="9" t="n">
        <v>-155</v>
      </c>
      <c r="AC17" s="8" t="n">
        <v>43.5</v>
      </c>
      <c r="AD17" s="9" t="n">
        <v>-110</v>
      </c>
      <c r="AE17" s="9" t="n">
        <v>-110</v>
      </c>
      <c r="AF17" s="7">
        <f>IF(OR(ISNA(T17),T17&lt;=0,ISBLANK(W17)),NA(),NORMSDIST(((W17)-(S17))/(T17)))</f>
        <v/>
      </c>
      <c r="AG17" s="7">
        <f>IF(OR(ISNA(T17),T17&lt;=0,ISBLANK(Y17)),NA(),1-NORMSDIST(((-Y17)-(S17))/(T17)))</f>
        <v/>
      </c>
      <c r="AH17">
        <f>IF(BF17&gt;=BE17,H17,G17)</f>
        <v/>
      </c>
      <c r="AI17" s="7">
        <f>MAX(0,BF17,BE17)</f>
        <v/>
      </c>
      <c r="AJ17">
        <f>IF(AI17&lt;=0,"PASS",IF(AI17&lt;0.02,"PASS",IF(AI17&lt;0.04,"LEAN",IF(AI17&lt;0.07,"SMALL",IF(AI17&lt;0.10,"MEDIUM","STRONG")))))</f>
        <v/>
      </c>
      <c r="AK17" s="4">
        <f>IF(AI17&lt;0.01,1,IF(AI17&lt;0.02,2,IF(AI17&lt;0.03,3,IF(AI17&lt;0.04,4,IF(AI17&lt;0.05,5,IF(AI17&lt;0.06,6,IF(AI17&lt;0.07,7,IF(AI17&lt;0.08,8,IF(AI17&lt;0.10,9,10)))))))))</f>
        <v/>
      </c>
      <c r="AL17" s="7">
        <f>IF(AH17=H17,(AG17)*(IF(Z17&gt;0,Z17/100,100/ABS(Z17)))-(1-(AG17)),(AF17)*(IF(X17&gt;0,X17/100,100/ABS(X17)))-(1-(AF17)))</f>
        <v/>
      </c>
      <c r="AM17">
        <f>IF((V17)-(IF(OR(ISBLANK(AB17),AB17=0),NA(),IF(AB17&gt;0,100/(AB17+100),-(AB17)/(-(AB17)+100))))&gt;=(U17)-(IF(OR(ISBLANK(AA17),AA17=0),NA(),IF(AA17&gt;0,100/(AA17+100),-(AA17)/(-(AA17)+100)))),H17,G17)</f>
        <v/>
      </c>
      <c r="AN17" s="7">
        <f>MAX(0,(V17)-(IF(OR(ISBLANK(AB17),AB17=0),NA(),IF(AB17&gt;0,100/(AB17+100),-(AB17)/(-(AB17)+100)))),(U17)-(IF(OR(ISBLANK(AA17),AA17=0),NA(),IF(AA17&gt;0,100/(AA17+100),-(AA17)/(-(AA17)+100)))))</f>
        <v/>
      </c>
      <c r="AO17">
        <f>IF(AN17&lt;=0,"PASS",IF(AN17&lt;0.02,"PASS",IF(AN17&lt;0.04,"LEAN",IF(AN17&lt;0.07,"SMALL",IF(AN17&lt;0.10,"MEDIUM","STRONG")))))</f>
        <v/>
      </c>
      <c r="AP17" s="4">
        <f>IF(AN17&lt;0.01,1,IF(AN17&lt;0.02,2,IF(AN17&lt;0.03,3,IF(AN17&lt;0.04,4,IF(AN17&lt;0.05,5,IF(AN17&lt;0.06,6,IF(AN17&lt;0.07,7,IF(AN17&lt;0.08,8,IF(AN17&lt;0.10,9,10)))))))))</f>
        <v/>
      </c>
      <c r="AQ17" s="7">
        <f>IF(AM17=H17,(V17)*(IF(AB17&gt;0,AB17/100,100/ABS(AB17)))-(1-(V17)),(U17)*(IF(AA17&gt;0,AA17/100,100/ABS(AA17)))-(1-(U17)))</f>
        <v/>
      </c>
      <c r="AR17" s="6">
        <f>'Bets'!S17</f>
        <v/>
      </c>
      <c r="AS17" s="10">
        <f>IF(OR(ISBLANK('Bets'!W17),ISBLANK('Bets'!Y17)),16,('Bets'!Y17-'Bets'!W17)/(2.56310313109))</f>
        <v/>
      </c>
      <c r="AT17" s="6">
        <f>IF(OR(ISNA(P17),ISNA(O17)),NA(),(P17)*(AR17)+(1-(P17))*(O17))</f>
        <v/>
      </c>
      <c r="AU17" s="10">
        <f>IF(OR(ISNA(P17),ISBLANK(AS17)),NA(),(AS17)*SQRT(P17))</f>
        <v/>
      </c>
      <c r="AV17" s="7">
        <f>IF(OR(ISNA(AU17),AU17&lt;=0,ISBLANK(AC17)),NA(),1-NORMSDIST(((AC17)-(AT17))/(AU17)))</f>
        <v/>
      </c>
      <c r="AW17" s="7">
        <f>IF(ISNA(AV17),NA(),1-(AV17))</f>
        <v/>
      </c>
      <c r="AX17">
        <f>IF(BI17&gt;=BJ17,"OVER","UNDER")</f>
        <v/>
      </c>
      <c r="AY17" s="7">
        <f>MAX(0,BI17,BJ17)</f>
        <v/>
      </c>
      <c r="AZ17">
        <f>IF(AY17&lt;=0,"PASS",IF(AY17&lt;0.02,"PASS",IF(AY17&lt;0.04,"LEAN",IF(AY17&lt;0.07,"SMALL",IF(AY17&lt;0.10,"MEDIUM","STRONG")))))</f>
        <v/>
      </c>
      <c r="BA17" s="4">
        <f>IF(AY17&lt;0.01,1,IF(AY17&lt;0.02,2,IF(AY17&lt;0.03,3,IF(AY17&lt;0.04,4,IF(AY17&lt;0.05,5,IF(AY17&lt;0.06,6,IF(AY17&lt;0.07,7,IF(AY17&lt;0.08,8,IF(AY17&lt;0.10,9,10)))))))))</f>
        <v/>
      </c>
      <c r="BB17" s="7">
        <f>IF(AX17="OVER",(AV17)*(IF(AD17&gt;0,AD17/100,100/ABS(AD17)))-(1-(AV17)),(AW17)*(IF(AE17&gt;0,AE17/100,100/ABS(AE17)))-(1-(AW17)))</f>
        <v/>
      </c>
      <c r="BC17" s="7">
        <f>IF(OR(ISBLANK(X17),X17=0),NA(),IF(X17&gt;0,100/(X17+100),-(X17)/(-(X17)+100)))</f>
        <v/>
      </c>
      <c r="BD17" s="7">
        <f>IF(OR(ISBLANK(Z17),Z17=0),NA(),IF(Z17&gt;0,100/(Z17+100),-(Z17)/(-(Z17)+100)))</f>
        <v/>
      </c>
      <c r="BE17" s="7">
        <f>AF17-BC17</f>
        <v/>
      </c>
      <c r="BF17" s="7">
        <f>AG17-BD17</f>
        <v/>
      </c>
      <c r="BG17" s="7">
        <f>IF(OR(ISBLANK(AD17),AD17=0),NA(),IF(AD17&gt;0,100/(AD17+100),-(AD17)/(-(AD17)+100)))</f>
        <v/>
      </c>
      <c r="BH17" s="7">
        <f>IF(OR(ISBLANK(AE17),AE17=0),NA(),IF(AE17&gt;0,100/(AE17+100),-(AE17)/(-(AE17)+100)))</f>
        <v/>
      </c>
      <c r="BI17" s="7">
        <f>AV17-BG17</f>
        <v/>
      </c>
      <c r="BJ17" s="7">
        <f>AW17-BH17</f>
        <v/>
      </c>
    </row>
  </sheetData>
  <autoFilter ref="A1:BJ1"/>
  <conditionalFormatting sqref="AO2:AO17">
    <cfRule type="expression" priority="1" dxfId="0" stopIfTrue="1">
      <formula>$AO2="PASS"</formula>
    </cfRule>
    <cfRule type="expression" priority="2" dxfId="1" stopIfTrue="1">
      <formula>$AO2="LEAN"</formula>
    </cfRule>
    <cfRule type="expression" priority="3" dxfId="2" stopIfTrue="1">
      <formula>$AO2="SMALL"</formula>
    </cfRule>
    <cfRule type="expression" priority="4" dxfId="3" stopIfTrue="1">
      <formula>$AO2="MEDIUM"</formula>
    </cfRule>
    <cfRule type="expression" priority="5" dxfId="4" stopIfTrue="1">
      <formula>$AO2="STRONG"</formula>
    </cfRule>
  </conditionalFormatting>
  <conditionalFormatting sqref="AJ2:AJ17">
    <cfRule type="expression" priority="6" dxfId="0" stopIfTrue="1">
      <formula>$AJ2="PASS"</formula>
    </cfRule>
    <cfRule type="expression" priority="7" dxfId="1" stopIfTrue="1">
      <formula>$AJ2="LEAN"</formula>
    </cfRule>
    <cfRule type="expression" priority="8" dxfId="2" stopIfTrue="1">
      <formula>$AJ2="SMALL"</formula>
    </cfRule>
    <cfRule type="expression" priority="9" dxfId="3" stopIfTrue="1">
      <formula>$AJ2="MEDIUM"</formula>
    </cfRule>
    <cfRule type="expression" priority="10" dxfId="4" stopIfTrue="1">
      <formula>$AJ2="STRONG"</formula>
    </cfRule>
  </conditionalFormatting>
  <conditionalFormatting sqref="AZ2:AZ17">
    <cfRule type="expression" priority="11" dxfId="0" stopIfTrue="1">
      <formula>$AZ2="PASS"</formula>
    </cfRule>
    <cfRule type="expression" priority="12" dxfId="1" stopIfTrue="1">
      <formula>$AZ2="LEAN"</formula>
    </cfRule>
    <cfRule type="expression" priority="13" dxfId="2" stopIfTrue="1">
      <formula>$AZ2="SMALL"</formula>
    </cfRule>
    <cfRule type="expression" priority="14" dxfId="3" stopIfTrue="1">
      <formula>$AZ2="MEDIUM"</formula>
    </cfRule>
    <cfRule type="expression" priority="15" dxfId="4" stopIfTrue="1">
      <formula>$AZ2="STRONG"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2026-09-10T01:02:58Z</dcterms:created>
  <dcterms:modified xmlns:dcterms="http://purl.org/dc/terms/" xmlns:xsi="http://www.w3.org/2001/XMLSchema-instance" xsi:type="dcterms:W3CDTF">2026-09-10T01:02:59Z</dcterms:modified>
</cp:coreProperties>
</file>